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yyyy-mm-dd"/>
    <numFmt numFmtId="166" formatCode="DD/MM/YYYY"/>
    <numFmt numFmtId="167" formatCode="0.000000%"/>
    <numFmt numFmtId="168" formatCode="$#,##0.00;($#,##0.0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i val="1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166" fontId="5" fillId="2" borderId="1" pivotButton="0" quotePrefix="0" xfId="0"/>
    <xf numFmtId="3" fontId="6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5" fillId="0" borderId="1" pivotButton="0" quotePrefix="0" xfId="0"/>
    <xf numFmtId="10" fontId="5" fillId="2" borderId="1" pivotButton="0" quotePrefix="0" xfId="0"/>
    <xf numFmtId="167" fontId="6" fillId="0" borderId="1" pivotButton="0" quotePrefix="0" xfId="0"/>
    <xf numFmtId="168" fontId="6" fillId="0" borderId="1" pivotButton="0" quotePrefix="0" xfId="0"/>
    <xf numFmtId="0" fontId="6" fillId="0" borderId="1" applyAlignment="1" pivotButton="0" quotePrefix="0" xfId="0">
      <alignment vertical="center" wrapText="1"/>
    </xf>
    <xf numFmtId="0" fontId="4" fillId="4" borderId="1" pivotButton="0" quotePrefix="0" xfId="0"/>
    <xf numFmtId="0" fontId="0" fillId="4" borderId="1" pivotButton="0" quotePrefix="0" xfId="0"/>
    <xf numFmtId="3" fontId="4" fillId="4" borderId="1" pivotButton="0" quotePrefix="0" xfId="0"/>
    <xf numFmtId="168" fontId="4" fillId="4" borderId="1" pivotButton="0" quotePrefix="0" xfId="0"/>
    <xf numFmtId="168" fontId="6" fillId="0" borderId="0" pivotButton="0" quotePrefix="0" xfId="0"/>
    <xf numFmtId="0" fontId="2" fillId="4" borderId="1" pivotButton="0" quotePrefix="0" xfId="0"/>
    <xf numFmtId="168" fontId="2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9" customWidth="1" min="4" max="4"/>
    <col width="16" customWidth="1" min="5" max="5"/>
    <col width="17" customWidth="1" min="6" max="6"/>
    <col width="22" customWidth="1" min="7" max="7"/>
    <col width="40" customWidth="1" min="8" max="8"/>
  </cols>
  <sheetData>
    <row r="1">
      <c r="A1" s="1" t="inlineStr">
        <is>
          <t>LIQUIDACION DE INTERESES MORATORIOS</t>
        </is>
      </c>
    </row>
    <row r="2">
      <c r="A2" s="2" t="inlineStr">
        <is>
          <t>Capital $152.646.000 - mora del 30/04/2026 al 28/05/2026</t>
        </is>
      </c>
    </row>
    <row r="3">
      <c r="A3" s="3" t="inlineStr">
        <is>
          <t>Tasa de mora maxima legal publicada para cada mes de vigencia (art. 884 C.Co.)</t>
        </is>
      </c>
    </row>
    <row r="5">
      <c r="A5" s="2" t="inlineStr">
        <is>
          <t>DATOS DE LA OBLIGACION</t>
        </is>
      </c>
    </row>
    <row r="6">
      <c r="A6" s="4" t="inlineStr">
        <is>
          <t>Capital (base de liquidacion)</t>
        </is>
      </c>
      <c r="B6" s="5" t="n">
        <v>152646000</v>
      </c>
    </row>
    <row r="7">
      <c r="A7" s="4" t="inlineStr">
        <is>
          <t>Fecha inicial de mora</t>
        </is>
      </c>
      <c r="B7" s="6" t="n">
        <v>46142</v>
      </c>
    </row>
    <row r="8">
      <c r="A8" s="4" t="inlineStr">
        <is>
          <t>Fecha final de liquidacion</t>
        </is>
      </c>
      <c r="B8" s="6" t="n">
        <v>46170</v>
      </c>
    </row>
    <row r="9">
      <c r="A9" s="4" t="inlineStr">
        <is>
          <t>Total dias de mora</t>
        </is>
      </c>
      <c r="B9" s="7">
        <f>B8-B7</f>
        <v/>
      </c>
    </row>
    <row r="11" ht="30" customHeight="1">
      <c r="A11" s="8" t="inlineStr">
        <is>
          <t>Mes de vigencia</t>
        </is>
      </c>
      <c r="B11" s="8" t="inlineStr">
        <is>
          <t>Desde</t>
        </is>
      </c>
      <c r="C11" s="8" t="inlineStr">
        <is>
          <t>Hasta</t>
        </is>
      </c>
      <c r="D11" s="8" t="inlineStr">
        <is>
          <t>Dias</t>
        </is>
      </c>
      <c r="E11" s="8" t="inlineStr">
        <is>
          <t>Tasa mora E.A.</t>
        </is>
      </c>
      <c r="F11" s="8" t="inlineStr">
        <is>
          <t>Tasa diaria equiv.</t>
        </is>
      </c>
      <c r="G11" s="8" t="inlineStr">
        <is>
          <t>Intereses del periodo</t>
        </is>
      </c>
      <c r="H11" s="8" t="inlineStr">
        <is>
          <t>Fuente / observacion</t>
        </is>
      </c>
    </row>
    <row r="12">
      <c r="A12" s="9" t="inlineStr">
        <is>
          <t>Abril 2026</t>
        </is>
      </c>
      <c r="B12" s="10" t="n">
        <v>46142</v>
      </c>
      <c r="C12" s="10" t="n">
        <v>46143</v>
      </c>
      <c r="D12" s="7">
        <f>C12-B12</f>
        <v/>
      </c>
      <c r="E12" s="11" t="n">
        <v>0.2676</v>
      </c>
      <c r="F12" s="12">
        <f>(1+E12)^(1/365)-1</f>
        <v/>
      </c>
      <c r="G12" s="13">
        <f>$B$6*((1+E12)^(D12/365)-1)</f>
        <v/>
      </c>
      <c r="H12" s="14" t="inlineStr">
        <is>
          <t>Res. 0517 de 2026</t>
        </is>
      </c>
    </row>
    <row r="13">
      <c r="A13" s="9" t="inlineStr">
        <is>
          <t>Mayo 2026</t>
        </is>
      </c>
      <c r="B13" s="10" t="n">
        <v>46143</v>
      </c>
      <c r="C13" s="10" t="n">
        <v>46170</v>
      </c>
      <c r="D13" s="7">
        <f>C13-B13</f>
        <v/>
      </c>
      <c r="E13" s="11" t="n">
        <v>0.2817</v>
      </c>
      <c r="F13" s="12">
        <f>(1+E13)^(1/365)-1</f>
        <v/>
      </c>
      <c r="G13" s="13">
        <f>$B$6*((1+E13)^(D13/365)-1)</f>
        <v/>
      </c>
      <c r="H13" s="14" t="inlineStr">
        <is>
          <t>Res. 0662 de 2026</t>
        </is>
      </c>
    </row>
    <row r="14">
      <c r="A14" s="15" t="inlineStr">
        <is>
          <t>TOTAL INTERESES DE MORA</t>
        </is>
      </c>
      <c r="B14" s="16" t="n"/>
      <c r="C14" s="16" t="n"/>
      <c r="D14" s="17">
        <f>SUM(D12:D13)</f>
        <v/>
      </c>
      <c r="E14" s="16" t="n"/>
      <c r="F14" s="16" t="n"/>
      <c r="G14" s="18">
        <f>SUM(G12:G13)</f>
        <v/>
      </c>
      <c r="H14" s="16" t="n"/>
    </row>
    <row r="15">
      <c r="A15" s="4" t="inlineStr">
        <is>
          <t>Capital</t>
        </is>
      </c>
      <c r="G15" s="19">
        <f>$B$6</f>
        <v/>
      </c>
    </row>
    <row r="16">
      <c r="A16" s="20" t="inlineStr">
        <is>
          <t>TOTAL A PAGAR (capital + intereses)</t>
        </is>
      </c>
      <c r="B16" s="16" t="n"/>
      <c r="C16" s="16" t="n"/>
      <c r="D16" s="16" t="n"/>
      <c r="E16" s="16" t="n"/>
      <c r="F16" s="16" t="n"/>
      <c r="G16" s="21">
        <f>G14+G15</f>
        <v/>
      </c>
      <c r="H16" s="16" t="n"/>
    </row>
    <row r="18">
      <c r="A18" s="22" t="inlineStr">
        <is>
          <t>- Intereses de cada tramo = Capital x [ (1 + tasa mora E.A.) ^ (dias / 365) - 1 ].</t>
        </is>
      </c>
    </row>
    <row r="19">
      <c r="A19" s="22" t="inlineStr">
        <is>
          <t>- Los dias se cuentan como diferencia de fechas: se cuenta el dia inicial y no el final, de modo que el cambio de mes no duplica ningun dia.</t>
        </is>
      </c>
    </row>
    <row r="20">
      <c r="A20" s="22" t="inlineStr">
        <is>
          <t>- Los intereses se liquidan sobre el capital insoluto; no se capitalizan (no hay anatocismo).</t>
        </is>
      </c>
    </row>
    <row r="21">
      <c r="A21" s="22" t="inlineStr">
        <is>
          <t>- Celdas amarillas: unicas editables (capital, fechas y tasa de cada mes). El resto son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2026-08-25T17:09:38Z</dcterms:created>
  <dcterms:modified xsi:type="dcterms:W3CDTF">2026-08-25T17:09:38Z</dcterms:modified>
</cp:coreProperties>
</file>