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" sheetId="1" state="visible" r:id="rId1"/>
    <sheet name="Tasas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yyyy-mm-dd"/>
    <numFmt numFmtId="166" formatCode="DD/MM/YYYY"/>
    <numFmt numFmtId="167" formatCode="0.000000%"/>
    <numFmt numFmtId="168" formatCode="$#,##0.00;($#,##0.00);-"/>
    <numFmt numFmtId="169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i val="1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8000"/>
      <sz val="10"/>
    </font>
    <font>
      <name val="Arial"/>
      <i val="1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7" fillId="0" borderId="0" pivotButton="0" quotePrefix="0" xfId="0"/>
    <xf numFmtId="166" fontId="5" fillId="2" borderId="1" pivotButton="0" quotePrefix="0" xfId="0"/>
    <xf numFmtId="3" fontId="6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5" fillId="0" borderId="1" pivotButton="0" quotePrefix="0" xfId="0"/>
    <xf numFmtId="10" fontId="9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0" fontId="9" fillId="0" borderId="1" applyAlignment="1" pivotButton="0" quotePrefix="0" xfId="0">
      <alignment vertical="center" wrapText="1"/>
    </xf>
    <xf numFmtId="0" fontId="4" fillId="4" borderId="1" pivotButton="0" quotePrefix="0" xfId="0"/>
    <xf numFmtId="0" fontId="0" fillId="4" borderId="1" pivotButton="0" quotePrefix="0" xfId="0"/>
    <xf numFmtId="3" fontId="4" fillId="4" borderId="1" pivotButton="0" quotePrefix="0" xfId="0"/>
    <xf numFmtId="168" fontId="4" fillId="4" borderId="1" pivotButton="0" quotePrefix="0" xfId="0"/>
    <xf numFmtId="168" fontId="6" fillId="0" borderId="0" pivotButton="0" quotePrefix="0" xfId="0"/>
    <xf numFmtId="0" fontId="2" fillId="4" borderId="1" pivotButton="0" quotePrefix="0" xfId="0"/>
    <xf numFmtId="168" fontId="2" fillId="4" borderId="1" pivotButton="0" quotePrefix="0" xfId="0"/>
    <xf numFmtId="10" fontId="5" fillId="2" borderId="1" pivotButton="0" quotePrefix="0" xfId="0"/>
    <xf numFmtId="10" fontId="6" fillId="0" borderId="1" pivotButton="0" quotePrefix="0" xfId="0"/>
    <xf numFmtId="0" fontId="6" fillId="0" borderId="1" applyAlignment="1" pivotButton="0" quotePrefix="0" xfId="0">
      <alignment vertical="center" wrapText="1"/>
    </xf>
    <xf numFmtId="0" fontId="4" fillId="5" borderId="1" pivotButton="0" quotePrefix="0" xfId="0"/>
    <xf numFmtId="10" fontId="5" fillId="5" borderId="1" pivotButton="0" quotePrefix="0" xfId="0"/>
    <xf numFmtId="10" fontId="6" fillId="5" borderId="1" pivotButton="0" quotePrefix="0" xfId="0"/>
    <xf numFmtId="0" fontId="6" fillId="5" borderId="1" applyAlignment="1" pivotButton="0" quotePrefix="0" xfId="0">
      <alignment vertical="center" wrapText="1"/>
    </xf>
    <xf numFmtId="0" fontId="10" fillId="0" borderId="0" pivotButton="0" quotePrefix="0" xfId="0"/>
    <xf numFmtId="169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Liquidacion</author>
  </authors>
  <commentList>
    <comment ref="B7" authorId="0" shapeId="0">
      <text>
        <t>A la fecha de elaboracion (25/08/2026) la Superfinanciera aun no habia certificado el IBC de septiembre de 2026. Se proyecta con el IBC de agosto (19,77 % E.A.). Reemplace esta celda por la tasa certificada cuando se publique y el libro se recalcula solo.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" customWidth="1" min="4" max="4"/>
    <col width="13" customWidth="1" min="5" max="5"/>
    <col width="15" customWidth="1" min="6" max="6"/>
    <col width="16" customWidth="1" min="7" max="7"/>
    <col width="20" customWidth="1" min="8" max="8"/>
    <col width="34" customWidth="1" min="9" max="9"/>
  </cols>
  <sheetData>
    <row r="1">
      <c r="A1" s="1" t="inlineStr">
        <is>
          <t>LIQUIDACION DE INTERESES MORATORIOS</t>
        </is>
      </c>
    </row>
    <row r="2">
      <c r="A2" s="2" t="inlineStr">
        <is>
          <t>Capital $610.584.000 - mora del 30/07/2026 al 30/09/2026</t>
        </is>
      </c>
    </row>
    <row r="3">
      <c r="A3" s="3" t="inlineStr">
        <is>
          <t>Tasa de mora maxima legal (1,5 x IBC certificado por la Superfinanciera), mes a mes</t>
        </is>
      </c>
    </row>
    <row r="5">
      <c r="A5" s="2" t="inlineStr">
        <is>
          <t>DATOS DE LA OBLIGACION</t>
        </is>
      </c>
    </row>
    <row r="6">
      <c r="A6" s="4" t="inlineStr">
        <is>
          <t>Capital (base de liquidacion)</t>
        </is>
      </c>
      <c r="B6" s="5" t="n">
        <v>610584000</v>
      </c>
      <c r="C6" s="6" t="inlineStr">
        <is>
          <t>Capital y fechas suministrados por el usuario. El IBC de septiembre/2026 aun no estaba certificado.</t>
        </is>
      </c>
    </row>
    <row r="7">
      <c r="A7" s="4" t="inlineStr">
        <is>
          <t>Fecha inicial de mora</t>
        </is>
      </c>
      <c r="B7" s="7" t="n">
        <v>46233</v>
      </c>
    </row>
    <row r="8">
      <c r="A8" s="4" t="inlineStr">
        <is>
          <t>Fecha final de liquidacion</t>
        </is>
      </c>
      <c r="B8" s="7" t="n">
        <v>46295</v>
      </c>
    </row>
    <row r="9">
      <c r="A9" s="4" t="inlineStr">
        <is>
          <t>Total dias de mora</t>
        </is>
      </c>
      <c r="B9" s="8">
        <f>B8-B7</f>
        <v/>
      </c>
    </row>
    <row r="11" ht="32" customHeight="1">
      <c r="A11" s="9" t="inlineStr">
        <is>
          <t>Mes de vigencia</t>
        </is>
      </c>
      <c r="B11" s="9" t="inlineStr">
        <is>
          <t>Desde</t>
        </is>
      </c>
      <c r="C11" s="9" t="inlineStr">
        <is>
          <t>Hasta</t>
        </is>
      </c>
      <c r="D11" s="9" t="inlineStr">
        <is>
          <t>Dias</t>
        </is>
      </c>
      <c r="E11" s="9" t="inlineStr">
        <is>
          <t>IBC E.A.</t>
        </is>
      </c>
      <c r="F11" s="9" t="inlineStr">
        <is>
          <t>Tasa mora E.A.</t>
        </is>
      </c>
      <c r="G11" s="9" t="inlineStr">
        <is>
          <t>Tasa diaria equiv.</t>
        </is>
      </c>
      <c r="H11" s="9" t="inlineStr">
        <is>
          <t>Intereses del periodo</t>
        </is>
      </c>
      <c r="I11" s="9" t="inlineStr">
        <is>
          <t>Acto administrativo / observacion</t>
        </is>
      </c>
    </row>
    <row r="12">
      <c r="A12" s="10" t="inlineStr">
        <is>
          <t>Julio 2026</t>
        </is>
      </c>
      <c r="B12" s="11" t="n">
        <v>46233</v>
      </c>
      <c r="C12" s="11" t="n">
        <v>46235</v>
      </c>
      <c r="D12" s="8">
        <f>C12-B12</f>
        <v/>
      </c>
      <c r="E12" s="12">
        <f>Tasas!B5</f>
        <v/>
      </c>
      <c r="F12" s="12">
        <f>Tasas!C5</f>
        <v/>
      </c>
      <c r="G12" s="13">
        <f>(1+F12)^(1/365)-1</f>
        <v/>
      </c>
      <c r="H12" s="14">
        <f>$B$6*((1+F12)^(D12/365)-1)</f>
        <v/>
      </c>
      <c r="I12" s="15">
        <f>Tasas!D5</f>
        <v/>
      </c>
    </row>
    <row r="13">
      <c r="A13" s="10" t="inlineStr">
        <is>
          <t>Agosto 2026</t>
        </is>
      </c>
      <c r="B13" s="11" t="n">
        <v>46235</v>
      </c>
      <c r="C13" s="11" t="n">
        <v>46266</v>
      </c>
      <c r="D13" s="8">
        <f>C13-B13</f>
        <v/>
      </c>
      <c r="E13" s="12">
        <f>Tasas!B6</f>
        <v/>
      </c>
      <c r="F13" s="12">
        <f>Tasas!C6</f>
        <v/>
      </c>
      <c r="G13" s="13">
        <f>(1+F13)^(1/365)-1</f>
        <v/>
      </c>
      <c r="H13" s="14">
        <f>$B$6*((1+F13)^(D13/365)-1)</f>
        <v/>
      </c>
      <c r="I13" s="15">
        <f>Tasas!D6</f>
        <v/>
      </c>
    </row>
    <row r="14">
      <c r="A14" s="10" t="inlineStr">
        <is>
          <t>Septiembre 2026</t>
        </is>
      </c>
      <c r="B14" s="11" t="n">
        <v>46266</v>
      </c>
      <c r="C14" s="11" t="n">
        <v>46295</v>
      </c>
      <c r="D14" s="8">
        <f>C14-B14</f>
        <v/>
      </c>
      <c r="E14" s="12">
        <f>Tasas!B7</f>
        <v/>
      </c>
      <c r="F14" s="12">
        <f>Tasas!C7</f>
        <v/>
      </c>
      <c r="G14" s="13">
        <f>(1+F14)^(1/365)-1</f>
        <v/>
      </c>
      <c r="H14" s="14">
        <f>$B$6*((1+F14)^(D14/365)-1)</f>
        <v/>
      </c>
      <c r="I14" s="15">
        <f>Tasas!D7</f>
        <v/>
      </c>
    </row>
    <row r="15">
      <c r="A15" s="16" t="inlineStr">
        <is>
          <t>TOTAL INTERESES DE MORA</t>
        </is>
      </c>
      <c r="B15" s="17" t="n"/>
      <c r="C15" s="17" t="n"/>
      <c r="D15" s="18">
        <f>SUM(D12:D14)</f>
        <v/>
      </c>
      <c r="E15" s="17" t="n"/>
      <c r="F15" s="17" t="n"/>
      <c r="G15" s="17" t="n"/>
      <c r="H15" s="19">
        <f>SUM(H12:H14)</f>
        <v/>
      </c>
      <c r="I15" s="17" t="n"/>
    </row>
    <row r="16">
      <c r="A16" s="4" t="inlineStr">
        <is>
          <t>Capital</t>
        </is>
      </c>
      <c r="H16" s="20">
        <f>$B$6</f>
        <v/>
      </c>
    </row>
    <row r="17">
      <c r="A17" s="21" t="inlineStr">
        <is>
          <t>TOTAL A PAGAR (capital + intereses)</t>
        </is>
      </c>
      <c r="B17" s="17" t="n"/>
      <c r="C17" s="17" t="n"/>
      <c r="D17" s="17" t="n"/>
      <c r="E17" s="17" t="n"/>
      <c r="F17" s="17" t="n"/>
      <c r="G17" s="17" t="n"/>
      <c r="H17" s="22">
        <f>H15+H16</f>
        <v/>
      </c>
      <c r="I17" s="17" t="n"/>
    </row>
    <row r="19">
      <c r="A19" s="6" t="inlineStr">
        <is>
          <t>- Formula de cada tramo: Capital x [ (1 + tasa mora E.A.) ^ (dias / 365) - 1 ].</t>
        </is>
      </c>
    </row>
    <row r="20">
      <c r="A20" s="6" t="inlineStr">
        <is>
          <t>- Los dias se cuentan como diferencia de fechas: se cuenta el dia inicial y no el final, de modo que el cambio de mes no duplica ningun dia.</t>
        </is>
      </c>
    </row>
    <row r="21">
      <c r="A21" s="6" t="inlineStr">
        <is>
          <t>- Los intereses se calculan sobre el capital insoluto; no se capitalizan (no hay anatocismo).</t>
        </is>
      </c>
    </row>
    <row r="22">
      <c r="A22" s="6" t="inlineStr">
        <is>
          <t>- Celdas azules o amarillas: datos editables. Celdas verdes: traidas de la hoja Tasas.</t>
        </is>
      </c>
    </row>
    <row r="23">
      <c r="A23" s="6" t="inlineStr">
        <is>
          <t>- Detalle de tasas y fuentes en la hoja Tasas; supuestos y conteo en la hoja Metodologia.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52" customWidth="1" min="4" max="4"/>
  </cols>
  <sheetData>
    <row r="1">
      <c r="A1" s="1" t="inlineStr">
        <is>
          <t>Tasas certificadas - Superintendencia Financiera de Colombia</t>
        </is>
      </c>
    </row>
    <row r="2">
      <c r="A2" s="3" t="inlineStr">
        <is>
          <t>Credito de consumo y ordinario. Tasa de mora maxima legal = 1,5 x IBC (art. 884 C.Co.).</t>
        </is>
      </c>
    </row>
    <row r="4">
      <c r="A4" s="9" t="inlineStr">
        <is>
          <t>Mes de vigencia</t>
        </is>
      </c>
      <c r="B4" s="9" t="inlineStr">
        <is>
          <t>IBC E.A.</t>
        </is>
      </c>
      <c r="C4" s="9" t="inlineStr">
        <is>
          <t>Tasa mora E.A.</t>
        </is>
      </c>
      <c r="D4" s="9" t="inlineStr">
        <is>
          <t>Acto administrativo / observacion</t>
        </is>
      </c>
    </row>
    <row r="5">
      <c r="A5" s="10" t="inlineStr">
        <is>
          <t>Julio 2026</t>
        </is>
      </c>
      <c r="B5" s="23" t="n">
        <v>0.1919</v>
      </c>
      <c r="C5" s="24">
        <f>B5*$B$1000</f>
        <v/>
      </c>
      <c r="D5" s="25" t="inlineStr">
        <is>
          <t>Resolucion 0965 de 2026 (30-jun-2026)</t>
        </is>
      </c>
    </row>
    <row r="6">
      <c r="A6" s="10" t="inlineStr">
        <is>
          <t>Agosto 2026</t>
        </is>
      </c>
      <c r="B6" s="23" t="n">
        <v>0.1977</v>
      </c>
      <c r="C6" s="24">
        <f>B6*$B$1000</f>
        <v/>
      </c>
      <c r="D6" s="25" t="inlineStr">
        <is>
          <t>Resolucion 1139 de 2026</t>
        </is>
      </c>
    </row>
    <row r="7">
      <c r="A7" s="26" t="inlineStr">
        <is>
          <t>Septiembre 2026</t>
        </is>
      </c>
      <c r="B7" s="27" t="n">
        <v>0.1977</v>
      </c>
      <c r="C7" s="28">
        <f>B7*$B$1000</f>
        <v/>
      </c>
      <c r="D7" s="29" t="inlineStr">
        <is>
          <t>PENDIENTE de certificacion - se proyecta con el IBC de agosto/2026</t>
        </is>
      </c>
    </row>
    <row r="9">
      <c r="A9" s="30" t="inlineStr">
        <is>
          <t>Celdas amarillas: unicas editables.</t>
        </is>
      </c>
    </row>
    <row r="1000">
      <c r="A1000" s="4" t="inlineStr">
        <is>
          <t>Factor legal de mora (1,5 veces el IBC)</t>
        </is>
      </c>
      <c r="B1000" s="31" t="n">
        <v>1.5</v>
      </c>
      <c r="C1000" s="3" t="inlineStr">
        <is>
          <t>Art. 884 Codigo de Comercio / art. 305 Codigo Penal (usura).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Metodologia de la liquidacion</t>
        </is>
      </c>
    </row>
    <row r="2">
      <c r="A2" s="32" t="inlineStr"/>
    </row>
    <row r="3">
      <c r="A3" s="2" t="inlineStr">
        <is>
          <t>1. Obligacion liquidada</t>
        </is>
      </c>
    </row>
    <row r="4">
      <c r="A4" s="32" t="inlineStr">
        <is>
          <t xml:space="preserve">   Capital: 610.584.000 pesos.</t>
        </is>
      </c>
    </row>
    <row r="5">
      <c r="A5" s="32" t="inlineStr">
        <is>
          <t xml:space="preserve">   Periodo de mora: 30/07/2026 a 30/09/2026 (62 dias).</t>
        </is>
      </c>
    </row>
    <row r="6">
      <c r="A6" s="32" t="inlineStr">
        <is>
          <t xml:space="preserve">   Capital y fechas suministrados por el usuario. El IBC de septiembre/2026 aun no estaba certificado.</t>
        </is>
      </c>
    </row>
    <row r="7">
      <c r="A7" s="32" t="inlineStr"/>
    </row>
    <row r="8">
      <c r="A8" s="2" t="inlineStr">
        <is>
          <t>2. Tasa aplicada</t>
        </is>
      </c>
    </row>
    <row r="9">
      <c r="A9" s="32" t="inlineStr">
        <is>
          <t xml:space="preserve">   Se aplica, mes a mes, la tasa de mora maxima legal: 1,5 veces el Interes Bancario</t>
        </is>
      </c>
    </row>
    <row r="10">
      <c r="A10" s="32" t="inlineStr">
        <is>
          <t xml:space="preserve">   Corriente para credito de consumo y ordinario certificado por la Superintendencia</t>
        </is>
      </c>
    </row>
    <row r="11">
      <c r="A11" s="32" t="inlineStr">
        <is>
          <t xml:space="preserve">   Financiera de Colombia para cada mes de vigencia (art. 884 del Codigo de Comercio).</t>
        </is>
      </c>
    </row>
    <row r="12">
      <c r="A12" s="32" t="inlineStr">
        <is>
          <t xml:space="preserve">   Esa tasa coincide con la tasa de usura certificada para la misma modalidad, de modo</t>
        </is>
      </c>
    </row>
    <row r="13">
      <c r="A13" s="32" t="inlineStr">
        <is>
          <t xml:space="preserve">   que la liquidacion no excede el limite del art. 305 del Codigo Penal.</t>
        </is>
      </c>
    </row>
    <row r="14">
      <c r="A14" s="32" t="inlineStr"/>
    </row>
    <row r="15">
      <c r="A15" s="2" t="inlineStr">
        <is>
          <t>3. Conteo de dias</t>
        </is>
      </c>
    </row>
    <row r="16">
      <c r="A16" s="32" t="inlineStr">
        <is>
          <t xml:space="preserve">   El periodo se parte en tramos que no cruzan fin de mes, para que a cada dia se le</t>
        </is>
      </c>
    </row>
    <row r="17">
      <c r="A17" s="32" t="inlineStr">
        <is>
          <t xml:space="preserve">   aplique la tasa vigente en su propio mes. Cada tramo se cuenta como diferencia de</t>
        </is>
      </c>
    </row>
    <row r="18">
      <c r="A18" s="32" t="inlineStr">
        <is>
          <t xml:space="preserve">   fechas (fecha final menos fecha inicial): el dia inicial se cuenta y el dia final</t>
        </is>
      </c>
    </row>
    <row r="19">
      <c r="A19" s="32" t="inlineStr">
        <is>
          <t xml:space="preserve">   no, de modo que ningun dia queda contado dos veces en el paso de un mes al otro.</t>
        </is>
      </c>
    </row>
    <row r="20">
      <c r="A20" s="32" t="inlineStr"/>
    </row>
    <row r="21">
      <c r="A21" s="2" t="inlineStr">
        <is>
          <t>4. Formula</t>
        </is>
      </c>
    </row>
    <row r="22">
      <c r="A22" s="32" t="inlineStr">
        <is>
          <t xml:space="preserve">   Intereses del tramo = Capital x [ (1 + tasa mora E.A.) ^ (dias / 365) - 1 ]</t>
        </is>
      </c>
    </row>
    <row r="23">
      <c r="A23" s="32" t="inlineStr">
        <is>
          <t xml:space="preserve">   Es la conversion de la tasa efectiva anual a su equivalente por el numero exacto de</t>
        </is>
      </c>
    </row>
    <row r="24">
      <c r="A24" s="32" t="inlineStr">
        <is>
          <t xml:space="preserve">   dias del tramo. Los intereses se calculan siempre sobre el capital insoluto: no se</t>
        </is>
      </c>
    </row>
    <row r="25">
      <c r="A25" s="32" t="inlineStr">
        <is>
          <t xml:space="preserve">   capitalizan intereses (prohibicion de anatocismo, art. 2235 C.C. y art. 886 C.Co.).</t>
        </is>
      </c>
    </row>
    <row r="26">
      <c r="A26" s="32" t="inlineStr"/>
    </row>
    <row r="27">
      <c r="A27" s="2" t="inlineStr">
        <is>
          <t>5. Codigo de colores</t>
        </is>
      </c>
    </row>
    <row r="28">
      <c r="A28" s="32" t="inlineStr">
        <is>
          <t xml:space="preserve">   Azul: dato tomado de fuente externa o suministrado por el usuario (editable).</t>
        </is>
      </c>
    </row>
    <row r="29">
      <c r="A29" s="32" t="inlineStr">
        <is>
          <t xml:space="preserve">   Amarillo: celda de entrada que el usuario puede modificar.</t>
        </is>
      </c>
    </row>
    <row r="30">
      <c r="A30" s="32" t="inlineStr">
        <is>
          <t xml:space="preserve">   Negro: resultado calculado por formula. Verde: enlace a otra hoja del mismo libro.</t>
        </is>
      </c>
    </row>
    <row r="31">
      <c r="A31" s="32" t="inlineStr"/>
    </row>
    <row r="32">
      <c r="A32" s="2" t="inlineStr">
        <is>
          <t>6. Advertencia</t>
        </is>
      </c>
    </row>
    <row r="33">
      <c r="A33" s="32" t="inlineStr">
        <is>
          <t xml:space="preserve">   Esta liquidacion es un calculo aritmetico. La tasa efectivamente aplicable depende</t>
        </is>
      </c>
    </row>
    <row r="34">
      <c r="A34" s="32" t="inlineStr">
        <is>
          <t xml:space="preserve">   del titulo, del pacto de las partes y de lo ordenado en el mandamiento de pago; si el</t>
        </is>
      </c>
    </row>
    <row r="35">
      <c r="A35" s="32" t="inlineStr">
        <is>
          <t xml:space="preserve">   titulo pacto una tasa inferior, debe reemplazarse en la hoja Tasas.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2026-08-25T17:04:49Z</dcterms:created>
  <dcterms:modified xsi:type="dcterms:W3CDTF">2026-08-25T17:04:49Z</dcterms:modified>
</cp:coreProperties>
</file>