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PROYECTO 2025\"/>
    </mc:Choice>
  </mc:AlternateContent>
  <xr:revisionPtr revIDLastSave="0" documentId="13_ncr:1_{3A9BF2E8-79B0-47DB-8E74-3B245ABDE5DF}" xr6:coauthVersionLast="47" xr6:coauthVersionMax="47" xr10:uidLastSave="{00000000-0000-0000-0000-000000000000}"/>
  <bookViews>
    <workbookView xWindow="-108" yWindow="-108" windowWidth="23256" windowHeight="12576" xr2:uid="{B2A2E1FA-6D83-4AE4-80DB-988663EDBCFA}"/>
  </bookViews>
  <sheets>
    <sheet name="SECA" sheetId="1" r:id="rId1"/>
    <sheet name="HUMEDA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5" i="2" l="1"/>
  <c r="G24" i="2"/>
  <c r="G23" i="2"/>
  <c r="C25" i="2"/>
  <c r="C24" i="2"/>
  <c r="C23" i="2"/>
  <c r="G12" i="2"/>
  <c r="G11" i="2"/>
  <c r="G10" i="2"/>
  <c r="C12" i="2"/>
  <c r="C11" i="2"/>
  <c r="C10" i="2"/>
  <c r="G38" i="1"/>
  <c r="G37" i="1"/>
  <c r="G36" i="1"/>
  <c r="C38" i="1"/>
  <c r="C37" i="1"/>
  <c r="C36" i="1"/>
  <c r="G25" i="1"/>
  <c r="G24" i="1"/>
  <c r="G23" i="1"/>
  <c r="C25" i="1"/>
  <c r="C24" i="1"/>
  <c r="C23" i="1"/>
  <c r="C6" i="1"/>
  <c r="C7" i="1"/>
  <c r="A6" i="1" l="1"/>
  <c r="B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C10" i="1" l="1"/>
  <c r="C11" i="1"/>
  <c r="C12" i="1"/>
  <c r="A7" i="1"/>
  <c r="B7" i="1"/>
  <c r="D7" i="1"/>
  <c r="G11" i="1" s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G12" i="1" s="1"/>
  <c r="AC7" i="1"/>
  <c r="AD7" i="1"/>
  <c r="AE7" i="1"/>
  <c r="AF7" i="1"/>
  <c r="AG7" i="1"/>
  <c r="AH7" i="1"/>
  <c r="G10" i="1" l="1"/>
</calcChain>
</file>

<file path=xl/sharedStrings.xml><?xml version="1.0" encoding="utf-8"?>
<sst xmlns="http://schemas.openxmlformats.org/spreadsheetml/2006/main" count="375" uniqueCount="203">
  <si>
    <t>E01</t>
  </si>
  <si>
    <t>E02</t>
  </si>
  <si>
    <t>E03</t>
  </si>
  <si>
    <t>E04</t>
  </si>
  <si>
    <t>E05</t>
  </si>
  <si>
    <t>E06</t>
  </si>
  <si>
    <t>E11</t>
  </si>
  <si>
    <t>E12</t>
  </si>
  <si>
    <t>E13</t>
  </si>
  <si>
    <t>E14</t>
  </si>
  <si>
    <t>E08</t>
  </si>
  <si>
    <t>E43</t>
  </si>
  <si>
    <t>E41</t>
  </si>
  <si>
    <t>E39</t>
  </si>
  <si>
    <t>E37</t>
  </si>
  <si>
    <t>E35</t>
  </si>
  <si>
    <t>E34</t>
  </si>
  <si>
    <t>E33</t>
  </si>
  <si>
    <t>E32</t>
  </si>
  <si>
    <t>E27</t>
  </si>
  <si>
    <t>E24</t>
  </si>
  <si>
    <t>E25</t>
  </si>
  <si>
    <t>E27_5m</t>
  </si>
  <si>
    <t>E28</t>
  </si>
  <si>
    <t>E29</t>
  </si>
  <si>
    <t>E31_sup</t>
  </si>
  <si>
    <t>E31_10m</t>
  </si>
  <si>
    <t>E31_5m</t>
  </si>
  <si>
    <t>E30</t>
  </si>
  <si>
    <t>E07_sup</t>
  </si>
  <si>
    <t>E09_sup</t>
  </si>
  <si>
    <t>E10_sup</t>
  </si>
  <si>
    <t xml:space="preserve">B/R </t>
  </si>
  <si>
    <t>440-676</t>
  </si>
  <si>
    <t>443-676</t>
  </si>
  <si>
    <t>picofitoplancton</t>
  </si>
  <si>
    <t>&gt;3.0</t>
  </si>
  <si>
    <t>microfitoplancton</t>
  </si>
  <si>
    <t>&lt;2.5</t>
  </si>
  <si>
    <t>nanofitoplancton</t>
  </si>
  <si>
    <t>entre 2.5 y 3.0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</si>
  <si>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</si>
  <si>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</si>
  <si>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</si>
  <si>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</si>
  <si>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</si>
  <si>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</si>
  <si>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</si>
  <si>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</si>
  <si>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</si>
  <si>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</si>
  <si>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E31</t>
  </si>
  <si>
    <t>E18</t>
  </si>
  <si>
    <t>E21</t>
  </si>
  <si>
    <t>E22</t>
  </si>
  <si>
    <t>E51</t>
  </si>
  <si>
    <t>E07</t>
  </si>
  <si>
    <t>E09</t>
  </si>
  <si>
    <t>E40</t>
  </si>
  <si>
    <t>E36</t>
  </si>
  <si>
    <t>443-677</t>
  </si>
  <si>
    <t>E49</t>
  </si>
  <si>
    <t>E50</t>
  </si>
  <si>
    <t xml:space="preserve">TEMPERATURA </t>
  </si>
  <si>
    <t>SALINIDAD</t>
  </si>
  <si>
    <t>TURBIDEZ</t>
  </si>
  <si>
    <t>ND</t>
  </si>
  <si>
    <t>TEMPERATURA</t>
  </si>
  <si>
    <t>FECHA-2021</t>
  </si>
  <si>
    <t>ESTACION</t>
  </si>
  <si>
    <t>SC-21-0101</t>
  </si>
  <si>
    <t>SC-21-0104</t>
  </si>
  <si>
    <t>SC-21-0109</t>
  </si>
  <si>
    <t>SC-21-0113</t>
  </si>
  <si>
    <t>SC-21-0115</t>
  </si>
  <si>
    <t>SC-21-0119</t>
  </si>
  <si>
    <t>SC-21-0124</t>
  </si>
  <si>
    <t>SC-21-0128</t>
  </si>
  <si>
    <t>SC-21-0132</t>
  </si>
  <si>
    <t>SC-21-0136</t>
  </si>
  <si>
    <t>SC-21-0140</t>
  </si>
  <si>
    <t>SC-21-0148</t>
  </si>
  <si>
    <t>SC-21-0152</t>
  </si>
  <si>
    <t>SC-21-0154</t>
  </si>
  <si>
    <t>SC-21-0156</t>
  </si>
  <si>
    <t>SC-21-0158</t>
  </si>
  <si>
    <t>SC-21-0159</t>
  </si>
  <si>
    <t>SC-21-0160</t>
  </si>
  <si>
    <t>SC-21-0161</t>
  </si>
  <si>
    <t>SC-21-0163</t>
  </si>
  <si>
    <t>SC-21-0164</t>
  </si>
  <si>
    <t>SC-21-0165</t>
  </si>
  <si>
    <t>SC-21-0166</t>
  </si>
  <si>
    <t>SC-21-0167</t>
  </si>
  <si>
    <t>SC-21-0168</t>
  </si>
  <si>
    <t>SC-21-0169</t>
  </si>
  <si>
    <t>SC-21-0170</t>
  </si>
  <si>
    <t>SC-21-0171</t>
  </si>
  <si>
    <t>SC-21-0172</t>
  </si>
  <si>
    <t>SC-21-225</t>
  </si>
  <si>
    <t>SC-21-228</t>
  </si>
  <si>
    <t>SC-21-231</t>
  </si>
  <si>
    <t>SC-22-0108</t>
  </si>
  <si>
    <t>SC-22-0112</t>
  </si>
  <si>
    <t>SC-22-0116</t>
  </si>
  <si>
    <t>SC-22-0121</t>
  </si>
  <si>
    <t>SC-22-0122</t>
  </si>
  <si>
    <t>SC-22-0127</t>
  </si>
  <si>
    <t>SC-22-0129</t>
  </si>
  <si>
    <t>SC-22-0131</t>
  </si>
  <si>
    <t>SC-22-0135</t>
  </si>
  <si>
    <t>SC-22-0139</t>
  </si>
  <si>
    <t>SC-22-0141</t>
  </si>
  <si>
    <t>SC-22-0144</t>
  </si>
  <si>
    <t>SC-22-0156</t>
  </si>
  <si>
    <t>SC-22-0161</t>
  </si>
  <si>
    <t>SC-22-0163</t>
  </si>
  <si>
    <t>SC-22-0164</t>
  </si>
  <si>
    <t>SC-22-0167</t>
  </si>
  <si>
    <t>SC-22-0168</t>
  </si>
  <si>
    <t>SC-22-0170</t>
  </si>
  <si>
    <t>SC-22-0172</t>
  </si>
  <si>
    <t>SC-22-0175</t>
  </si>
  <si>
    <t>SC-22-0176</t>
  </si>
  <si>
    <t>SC-22-0178</t>
  </si>
  <si>
    <t>FECHA-2022</t>
  </si>
  <si>
    <t>SC-22-0415</t>
  </si>
  <si>
    <t>SC-22-0416</t>
  </si>
  <si>
    <t>SC-22-0419</t>
  </si>
  <si>
    <t>SC-22-0423</t>
  </si>
  <si>
    <t>SC-22-0427</t>
  </si>
  <si>
    <t>SC-22-0428</t>
  </si>
  <si>
    <t>SC-22-0429</t>
  </si>
  <si>
    <t>SC-22-0431</t>
  </si>
  <si>
    <t>SC-22-0434</t>
  </si>
  <si>
    <t>SC-22-0437</t>
  </si>
  <si>
    <t>SC-22-0441</t>
  </si>
  <si>
    <t>SC-22-0444</t>
  </si>
  <si>
    <t>SC-22-0453</t>
  </si>
  <si>
    <t>SC-22-0454</t>
  </si>
  <si>
    <t>SC-22-0455</t>
  </si>
  <si>
    <t>SC-22-0456</t>
  </si>
  <si>
    <t>SC-22-0459</t>
  </si>
  <si>
    <t>SC-22-0463</t>
  </si>
  <si>
    <t>SC-22-0464</t>
  </si>
  <si>
    <t>SC-22-0465</t>
  </si>
  <si>
    <t>SC-22-0466</t>
  </si>
  <si>
    <t>SC-22-0468</t>
  </si>
  <si>
    <t>SC-22-0469</t>
  </si>
  <si>
    <t>SC-22-0470</t>
  </si>
  <si>
    <t>SC-22-0471</t>
  </si>
  <si>
    <t>SC-22-0473</t>
  </si>
  <si>
    <t>SC-22-0474</t>
  </si>
  <si>
    <t>SC-22-0475</t>
  </si>
  <si>
    <t>SC-22-0479</t>
  </si>
  <si>
    <t>FECHA-2023</t>
  </si>
  <si>
    <t>SC-23-0164</t>
  </si>
  <si>
    <t>SC-23-0165</t>
  </si>
  <si>
    <t>SC-23-0166</t>
  </si>
  <si>
    <t>SC-23-0167</t>
  </si>
  <si>
    <t>SC-23-0173</t>
  </si>
  <si>
    <t>SC-23-0177</t>
  </si>
  <si>
    <t>SC-23-0181</t>
  </si>
  <si>
    <t>SC-23-0186</t>
  </si>
  <si>
    <t>SC-23-0187</t>
  </si>
  <si>
    <t>SC-23-0189</t>
  </si>
  <si>
    <t>SC-23-0191</t>
  </si>
  <si>
    <t>SC-23-0194</t>
  </si>
  <si>
    <t>SC-23-0198</t>
  </si>
  <si>
    <t>SC-23-0199</t>
  </si>
  <si>
    <t>SC-23-0204</t>
  </si>
  <si>
    <t>SC-23-0208</t>
  </si>
  <si>
    <t>SC-23-0210</t>
  </si>
  <si>
    <t>SC-23-0211</t>
  </si>
  <si>
    <t>SC-23-0212</t>
  </si>
  <si>
    <t>SC-23-0213</t>
  </si>
  <si>
    <t>SC-23-0214</t>
  </si>
  <si>
    <t>SC-23-0217</t>
  </si>
  <si>
    <t>SC-23-0221</t>
  </si>
  <si>
    <t>SC-23-0222</t>
  </si>
  <si>
    <t>SC-23-0223</t>
  </si>
  <si>
    <t>SC-23-0225</t>
  </si>
  <si>
    <t>SC-23-0226</t>
  </si>
  <si>
    <t>SC-23-0227</t>
  </si>
  <si>
    <t>SC-23-0228</t>
  </si>
  <si>
    <t>SC-23-0230</t>
  </si>
  <si>
    <t>SC-23-0231</t>
  </si>
  <si>
    <t>SC-23-0232</t>
  </si>
  <si>
    <t>SC-23-0513</t>
  </si>
  <si>
    <t>SC-23-0516</t>
  </si>
  <si>
    <t>SC-23-0519</t>
  </si>
  <si>
    <t>SC-23-0522</t>
  </si>
  <si>
    <t>SC-23-0523</t>
  </si>
  <si>
    <t>SC-23-0526</t>
  </si>
  <si>
    <t>SC-23-0527</t>
  </si>
  <si>
    <t>SC-23-0528</t>
  </si>
  <si>
    <t>SC-23-0530</t>
  </si>
  <si>
    <t>SC-23-0532</t>
  </si>
  <si>
    <t>SC-23-0538</t>
  </si>
  <si>
    <t>SC-23-0541</t>
  </si>
  <si>
    <t>SC-23-0544</t>
  </si>
  <si>
    <t>SC-23-0545</t>
  </si>
  <si>
    <t>SC-23-0548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</si>
</sst>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/>
    <xf numFmtId="164" fontId="0" fillId="0" borderId="1" xfId="0" applyNumberFormat="1" applyBorder="1"/>
    <xf numFmtId="0" fontId="1" fillId="3" borderId="1" xfId="0" applyFont="1" applyFill="1" applyBorder="1"/>
    <xf numFmtId="0" fontId="1" fillId="2" borderId="1" xfId="0" applyFont="1" applyFill="1" applyBorder="1"/>
    <xf numFmtId="0" fontId="1" fillId="4" borderId="1" xfId="0" applyFont="1" applyFill="1" applyBorder="1"/>
    <xf numFmtId="0" fontId="5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/>
    <xf numFmtId="0" fontId="0" fillId="0" borderId="2" xfId="0" applyBorder="1"/>
    <xf numFmtId="0" fontId="0" fillId="0" borderId="4" xfId="0" applyBorder="1"/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esktop\PROYECTO%202025\base%20de%20datos\2021\Espectros%20ap-ad-aphy-CDOM_Sol-0013-21.xlsx" TargetMode="External"/><Relationship Id="rId1" Type="http://schemas.openxmlformats.org/officeDocument/2006/relationships/externalLinkPath" Target="base%20de%20datos/2021/Espectros%20ap-ad-aphy-CDOM_Sol-0013-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"/>
      <sheetName val="ad"/>
      <sheetName val="aphy"/>
      <sheetName val="aCDOM"/>
      <sheetName val="ax(443)"/>
      <sheetName val="aphy-Especifico"/>
      <sheetName val="Varias longitudes de ond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7">
          <cell r="A37" t="str">
            <v xml:space="preserve">B/R </v>
          </cell>
          <cell r="B37" t="str">
            <v>440-676</v>
          </cell>
          <cell r="C37">
            <v>2.0952325767871187</v>
          </cell>
          <cell r="D37">
            <v>2.579369714119828</v>
          </cell>
          <cell r="E37">
            <v>2.1947891189192674</v>
          </cell>
          <cell r="F37">
            <v>9.5201219156471932</v>
          </cell>
          <cell r="G37">
            <v>4.2062590396303916</v>
          </cell>
          <cell r="H37">
            <v>3.1366956525682701</v>
          </cell>
          <cell r="I37">
            <v>1.904671681336338</v>
          </cell>
          <cell r="J37">
            <v>1.9887568675340361</v>
          </cell>
          <cell r="K37">
            <v>2.5870180523951221</v>
          </cell>
          <cell r="L37">
            <v>2.8673437066025036</v>
          </cell>
          <cell r="M37">
            <v>1.4983474301243169</v>
          </cell>
          <cell r="N37" t="e">
            <v>#DIV/0!</v>
          </cell>
          <cell r="O37" t="e">
            <v>#DIV/0!</v>
          </cell>
          <cell r="P37" t="e">
            <v>#DIV/0!</v>
          </cell>
          <cell r="Q37" t="e">
            <v>#DIV/0!</v>
          </cell>
          <cell r="R37" t="e">
            <v>#DIV/0!</v>
          </cell>
          <cell r="S37" t="e">
            <v>#DIV/0!</v>
          </cell>
          <cell r="T37" t="e">
            <v>#DIV/0!</v>
          </cell>
          <cell r="U37" t="e">
            <v>#DIV/0!</v>
          </cell>
          <cell r="V37">
            <v>0.6668669363849512</v>
          </cell>
          <cell r="W37">
            <v>2.3350022570369884</v>
          </cell>
          <cell r="X37">
            <v>0.71538171114203986</v>
          </cell>
          <cell r="Y37">
            <v>4.2510159766645037</v>
          </cell>
          <cell r="Z37">
            <v>2.1085037314841681</v>
          </cell>
          <cell r="AA37">
            <v>1.1804796912465054</v>
          </cell>
          <cell r="AB37">
            <v>2.7483092489877534</v>
          </cell>
          <cell r="AC37">
            <v>1.9575462490191875</v>
          </cell>
          <cell r="AD37">
            <v>2.2667692517550773</v>
          </cell>
          <cell r="AE37">
            <v>1.8536971993806564</v>
          </cell>
          <cell r="AF37">
            <v>2.7092831197611367</v>
          </cell>
          <cell r="AG37">
            <v>3.6558740976338444</v>
          </cell>
          <cell r="AH37">
            <v>8.3505377720404255</v>
          </cell>
        </row>
        <row r="38">
          <cell r="A38" t="str">
            <v xml:space="preserve">B/R </v>
          </cell>
          <cell r="B38" t="str">
            <v>443-676</v>
          </cell>
          <cell r="C38">
            <v>2.0938023981864906</v>
          </cell>
          <cell r="D38">
            <v>2.4746219874960107</v>
          </cell>
          <cell r="E38">
            <v>3.0620458809780486</v>
          </cell>
          <cell r="F38">
            <v>9.201670530164284</v>
          </cell>
          <cell r="G38">
            <v>4.7803586834267859</v>
          </cell>
          <cell r="H38">
            <v>3.1079031395449821</v>
          </cell>
          <cell r="I38">
            <v>1.7164566436665847</v>
          </cell>
          <cell r="J38">
            <v>1.8029997799229316</v>
          </cell>
          <cell r="K38">
            <v>2.4629272237319544</v>
          </cell>
          <cell r="L38">
            <v>2.4682804339628368</v>
          </cell>
          <cell r="M38">
            <v>1.4475560782804651</v>
          </cell>
          <cell r="N38" t="e">
            <v>#DIV/0!</v>
          </cell>
          <cell r="O38" t="e">
            <v>#DIV/0!</v>
          </cell>
          <cell r="P38" t="e">
            <v>#DIV/0!</v>
          </cell>
          <cell r="Q38" t="e">
            <v>#DIV/0!</v>
          </cell>
          <cell r="R38" t="e">
            <v>#DIV/0!</v>
          </cell>
          <cell r="S38" t="e">
            <v>#DIV/0!</v>
          </cell>
          <cell r="T38" t="e">
            <v>#DIV/0!</v>
          </cell>
          <cell r="U38" t="e">
            <v>#DIV/0!</v>
          </cell>
          <cell r="V38">
            <v>0.86831373586318605</v>
          </cell>
          <cell r="W38">
            <v>2.2633018682297767</v>
          </cell>
          <cell r="X38">
            <v>1.0793157217364868</v>
          </cell>
          <cell r="Y38">
            <v>4.1526023865494297</v>
          </cell>
          <cell r="Z38">
            <v>1.9537129475667769</v>
          </cell>
          <cell r="AA38">
            <v>1.1946981709722826</v>
          </cell>
          <cell r="AB38">
            <v>2.6356536470774614</v>
          </cell>
          <cell r="AC38">
            <v>1.9731630154942026</v>
          </cell>
          <cell r="AD38">
            <v>2.058559282106887</v>
          </cell>
          <cell r="AE38">
            <v>1.7520906730516732</v>
          </cell>
          <cell r="AF38">
            <v>3.6927540395711178</v>
          </cell>
          <cell r="AG38">
            <v>3.6578104864529348</v>
          </cell>
          <cell r="AH38">
            <v>9.0800590985662932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EB203-4744-43EF-9C45-40A29FEC28B6}">
  <dimension ref="A1:AH38"/>
  <sheetViews>
    <sheetView tabSelected="1" workbookViewId="0">
      <selection activeCell="D22" sqref="D22"/>
    </sheetView>
  </sheetViews>
  <sheetFormatPr baseColWidth="10" defaultRowHeight="14.4" x14ac:dyDescent="0.3"/>
  <cols>
    <col min="1" max="1" width="15.6640625" bestFit="1" customWidth="1"/>
    <col min="2" max="2" width="13.88671875" bestFit="1" customWidth="1"/>
    <col min="3" max="3" width="10.5546875" bestFit="1" customWidth="1"/>
    <col min="4" max="4" width="10.33203125" bestFit="1" customWidth="1"/>
    <col min="5" max="5" width="15.6640625" bestFit="1" customWidth="1"/>
    <col min="6" max="6" width="12.6640625" bestFit="1" customWidth="1"/>
    <col min="7" max="13" width="10.33203125" bestFit="1" customWidth="1"/>
    <col min="14" max="14" width="10.5546875" bestFit="1" customWidth="1"/>
    <col min="15" max="31" width="10.33203125" bestFit="1" customWidth="1"/>
    <col min="32" max="34" width="10.5546875" bestFit="1" customWidth="1"/>
  </cols>
  <sheetData>
    <row r="1" spans="1:34" x14ac:dyDescent="0.3">
      <c r="A1" s="20" t="s">
        <v>68</v>
      </c>
      <c r="B1" s="20" t="s">
        <v>69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</row>
    <row r="2" spans="1:34" x14ac:dyDescent="0.3">
      <c r="A2" s="23"/>
      <c r="B2" s="21"/>
      <c r="C2" s="1" t="s">
        <v>70</v>
      </c>
      <c r="D2" s="1" t="s">
        <v>71</v>
      </c>
      <c r="E2" s="1" t="s">
        <v>72</v>
      </c>
      <c r="F2" s="1" t="s">
        <v>73</v>
      </c>
      <c r="G2" s="1" t="s">
        <v>74</v>
      </c>
      <c r="H2" s="1" t="s">
        <v>75</v>
      </c>
      <c r="I2" s="1" t="s">
        <v>76</v>
      </c>
      <c r="J2" s="1" t="s">
        <v>77</v>
      </c>
      <c r="K2" s="1" t="s">
        <v>78</v>
      </c>
      <c r="L2" s="1" t="s">
        <v>79</v>
      </c>
      <c r="M2" s="1" t="s">
        <v>80</v>
      </c>
      <c r="N2" s="1" t="s">
        <v>81</v>
      </c>
      <c r="O2" s="1" t="s">
        <v>82</v>
      </c>
      <c r="P2" s="1" t="s">
        <v>83</v>
      </c>
      <c r="Q2" s="1" t="s">
        <v>84</v>
      </c>
      <c r="R2" s="1" t="s">
        <v>85</v>
      </c>
      <c r="S2" s="1" t="s">
        <v>86</v>
      </c>
      <c r="T2" s="1" t="s">
        <v>87</v>
      </c>
      <c r="U2" s="1" t="s">
        <v>88</v>
      </c>
      <c r="V2" s="1" t="s">
        <v>89</v>
      </c>
      <c r="W2" s="1" t="s">
        <v>90</v>
      </c>
      <c r="X2" s="1" t="s">
        <v>91</v>
      </c>
      <c r="Y2" s="1" t="s">
        <v>92</v>
      </c>
      <c r="Z2" s="1" t="s">
        <v>93</v>
      </c>
      <c r="AA2" s="1" t="s">
        <v>94</v>
      </c>
      <c r="AB2" s="1" t="s">
        <v>95</v>
      </c>
      <c r="AC2" s="1" t="s">
        <v>96</v>
      </c>
      <c r="AD2" s="1" t="s">
        <v>97</v>
      </c>
      <c r="AE2" s="1" t="s">
        <v>98</v>
      </c>
      <c r="AF2" s="1" t="s">
        <v>99</v>
      </c>
      <c r="AG2" s="1" t="s">
        <v>100</v>
      </c>
      <c r="AH2" s="1" t="s">
        <v>101</v>
      </c>
    </row>
    <row r="3" spans="1:34" x14ac:dyDescent="0.3">
      <c r="A3" s="23"/>
      <c r="B3" s="6" t="s">
        <v>63</v>
      </c>
      <c r="C3" s="2">
        <v>28.3</v>
      </c>
      <c r="D3" s="2"/>
      <c r="E3" s="2">
        <v>28.4</v>
      </c>
      <c r="F3" s="2">
        <v>38.700000000000003</v>
      </c>
      <c r="G3" s="2">
        <v>30.3</v>
      </c>
      <c r="H3" s="2">
        <v>29.5</v>
      </c>
      <c r="I3" s="2">
        <v>28.6</v>
      </c>
      <c r="J3" s="2">
        <v>28.2</v>
      </c>
      <c r="K3" s="2">
        <v>28.3</v>
      </c>
      <c r="L3" s="2" t="s">
        <v>66</v>
      </c>
      <c r="M3" s="2" t="s">
        <v>66</v>
      </c>
      <c r="N3" s="2">
        <v>29.3</v>
      </c>
      <c r="O3" s="2">
        <v>29.5</v>
      </c>
      <c r="P3" s="2">
        <v>28.9</v>
      </c>
      <c r="Q3" s="2">
        <v>29.2</v>
      </c>
      <c r="R3" s="2">
        <v>29.6</v>
      </c>
      <c r="S3" s="2">
        <v>29.7</v>
      </c>
      <c r="T3" s="2">
        <v>30.1</v>
      </c>
      <c r="U3" s="2">
        <v>30.1</v>
      </c>
      <c r="V3" s="2">
        <v>29.2</v>
      </c>
      <c r="W3" s="2">
        <v>30.7</v>
      </c>
      <c r="X3" s="2">
        <v>31</v>
      </c>
      <c r="Y3" s="2">
        <v>28.9</v>
      </c>
      <c r="Z3" s="2">
        <v>30.3</v>
      </c>
      <c r="AA3" s="2">
        <v>31.4</v>
      </c>
      <c r="AB3" s="2">
        <v>30.8</v>
      </c>
      <c r="AC3" s="2">
        <v>28.1</v>
      </c>
      <c r="AD3" s="2">
        <v>28.5</v>
      </c>
      <c r="AE3" s="2">
        <v>32.700000000000003</v>
      </c>
      <c r="AF3" s="2">
        <v>30.9</v>
      </c>
      <c r="AG3" s="2">
        <v>30.8</v>
      </c>
      <c r="AH3" s="2">
        <v>29.7</v>
      </c>
    </row>
    <row r="4" spans="1:34" x14ac:dyDescent="0.3">
      <c r="A4" s="23"/>
      <c r="B4" s="6" t="s">
        <v>64</v>
      </c>
      <c r="C4" s="2">
        <v>20.2</v>
      </c>
      <c r="D4" s="2"/>
      <c r="E4" s="2">
        <v>15.6</v>
      </c>
      <c r="F4" s="2">
        <v>0.3</v>
      </c>
      <c r="G4" s="2">
        <v>7.1</v>
      </c>
      <c r="H4" s="2">
        <v>22.4</v>
      </c>
      <c r="I4" s="2">
        <v>28.1</v>
      </c>
      <c r="J4" s="2">
        <v>31.5</v>
      </c>
      <c r="K4" s="2">
        <v>31.8</v>
      </c>
      <c r="L4" s="2">
        <v>30.9</v>
      </c>
      <c r="M4" s="2">
        <v>23.2</v>
      </c>
      <c r="N4" s="2">
        <v>33.9</v>
      </c>
      <c r="O4" s="2">
        <v>34.6</v>
      </c>
      <c r="P4" s="2">
        <v>34.1</v>
      </c>
      <c r="Q4" s="2">
        <v>33.9</v>
      </c>
      <c r="R4" s="2">
        <v>22</v>
      </c>
      <c r="S4" s="2">
        <v>20</v>
      </c>
      <c r="T4" s="2">
        <v>19.899999999999999</v>
      </c>
      <c r="U4" s="2">
        <v>19.100000000000001</v>
      </c>
      <c r="V4" s="2">
        <v>18.899999999999999</v>
      </c>
      <c r="W4" s="2">
        <v>22.1</v>
      </c>
      <c r="X4" s="2">
        <v>21.1</v>
      </c>
      <c r="Y4" s="2">
        <v>33.799999999999997</v>
      </c>
      <c r="Z4" s="2">
        <v>24.8</v>
      </c>
      <c r="AA4" s="2">
        <v>25.9</v>
      </c>
      <c r="AB4" s="2">
        <v>21.2</v>
      </c>
      <c r="AC4" s="2">
        <v>34.700000000000003</v>
      </c>
      <c r="AD4" s="2">
        <v>33.299999999999997</v>
      </c>
      <c r="AE4" s="2">
        <v>30.8</v>
      </c>
      <c r="AF4" s="2">
        <v>6.1</v>
      </c>
      <c r="AG4" s="2">
        <v>12.4</v>
      </c>
      <c r="AH4" s="2">
        <v>11.5</v>
      </c>
    </row>
    <row r="5" spans="1:34" x14ac:dyDescent="0.3">
      <c r="A5" s="21"/>
      <c r="B5" s="6" t="s">
        <v>65</v>
      </c>
      <c r="C5" s="3">
        <v>4</v>
      </c>
      <c r="D5" s="3"/>
      <c r="E5" s="3">
        <v>9.5399999999999991</v>
      </c>
      <c r="F5" s="3">
        <v>242</v>
      </c>
      <c r="G5" s="3">
        <v>31.4</v>
      </c>
      <c r="H5" s="3">
        <v>6.61</v>
      </c>
      <c r="I5" s="3">
        <v>3.84</v>
      </c>
      <c r="J5" s="3">
        <v>1.1100000000000001</v>
      </c>
      <c r="K5" s="3">
        <v>2.31</v>
      </c>
      <c r="L5" s="3">
        <v>4.62</v>
      </c>
      <c r="M5" s="3">
        <v>8.26</v>
      </c>
      <c r="N5" s="3">
        <v>6.73</v>
      </c>
      <c r="O5" s="3">
        <v>3.55</v>
      </c>
      <c r="P5" s="3">
        <v>3.3</v>
      </c>
      <c r="Q5" s="3">
        <v>1.03</v>
      </c>
      <c r="R5" s="3">
        <v>2.64</v>
      </c>
      <c r="S5" s="3">
        <v>6.61</v>
      </c>
      <c r="T5" s="3">
        <v>6.23</v>
      </c>
      <c r="U5" s="3">
        <v>7.84</v>
      </c>
      <c r="V5" s="3">
        <v>2.56</v>
      </c>
      <c r="W5" s="3">
        <v>5.57</v>
      </c>
      <c r="X5" s="3">
        <v>4.09</v>
      </c>
      <c r="Y5" s="3">
        <v>0.74</v>
      </c>
      <c r="Z5" s="3">
        <v>3.84</v>
      </c>
      <c r="AA5" s="3">
        <v>6.48</v>
      </c>
      <c r="AB5" s="3">
        <v>5.53</v>
      </c>
      <c r="AC5" s="3">
        <v>1.61</v>
      </c>
      <c r="AD5" s="3">
        <v>0.45</v>
      </c>
      <c r="AE5" s="3">
        <v>10.45</v>
      </c>
      <c r="AF5" s="3">
        <v>57.9</v>
      </c>
      <c r="AG5" s="3">
        <v>16.760000000000002</v>
      </c>
      <c r="AH5" s="3">
        <v>31.6</v>
      </c>
    </row>
    <row r="6" spans="1:34" x14ac:dyDescent="0.3">
      <c r="A6" s="6" t="str">
        <f>'[1]Varias longitudes de onda'!A37</f>
        <v xml:space="preserve">B/R </v>
      </c>
      <c r="B6" s="10" t="str">
        <f>'[1]Varias longitudes de onda'!B37</f>
        <v>440-676</v>
      </c>
      <c r="C6" s="11">
        <f>'[1]Varias longitudes de onda'!C37</f>
        <v>2.0952325767871187</v>
      </c>
      <c r="D6" s="11">
        <f>'[1]Varias longitudes de onda'!D37</f>
        <v>2.579369714119828</v>
      </c>
      <c r="E6" s="11">
        <f>'[1]Varias longitudes de onda'!E37</f>
        <v>2.1947891189192674</v>
      </c>
      <c r="F6" s="11">
        <f>'[1]Varias longitudes de onda'!F37</f>
        <v>9.5201219156471932</v>
      </c>
      <c r="G6" s="11">
        <f>'[1]Varias longitudes de onda'!G37</f>
        <v>4.2062590396303916</v>
      </c>
      <c r="H6" s="11">
        <f>'[1]Varias longitudes de onda'!H37</f>
        <v>3.1366956525682701</v>
      </c>
      <c r="I6" s="11">
        <f>'[1]Varias longitudes de onda'!I37</f>
        <v>1.904671681336338</v>
      </c>
      <c r="J6" s="11">
        <f>'[1]Varias longitudes de onda'!J37</f>
        <v>1.9887568675340361</v>
      </c>
      <c r="K6" s="11">
        <f>'[1]Varias longitudes de onda'!K37</f>
        <v>2.5870180523951221</v>
      </c>
      <c r="L6" s="11">
        <f>'[1]Varias longitudes de onda'!L37</f>
        <v>2.8673437066025036</v>
      </c>
      <c r="M6" s="11">
        <f>'[1]Varias longitudes de onda'!M37</f>
        <v>1.4983474301243169</v>
      </c>
      <c r="N6" s="11" t="e">
        <f>'[1]Varias longitudes de onda'!N37</f>
        <v>#DIV/0!</v>
      </c>
      <c r="O6" s="11" t="e">
        <f>'[1]Varias longitudes de onda'!O37</f>
        <v>#DIV/0!</v>
      </c>
      <c r="P6" s="11" t="e">
        <f>'[1]Varias longitudes de onda'!P37</f>
        <v>#DIV/0!</v>
      </c>
      <c r="Q6" s="11" t="e">
        <f>'[1]Varias longitudes de onda'!Q37</f>
        <v>#DIV/0!</v>
      </c>
      <c r="R6" s="11" t="e">
        <f>'[1]Varias longitudes de onda'!R37</f>
        <v>#DIV/0!</v>
      </c>
      <c r="S6" s="11" t="e">
        <f>'[1]Varias longitudes de onda'!S37</f>
        <v>#DIV/0!</v>
      </c>
      <c r="T6" s="11" t="e">
        <f>'[1]Varias longitudes de onda'!T37</f>
        <v>#DIV/0!</v>
      </c>
      <c r="U6" s="11" t="e">
        <f>'[1]Varias longitudes de onda'!U37</f>
        <v>#DIV/0!</v>
      </c>
      <c r="V6" s="11">
        <f>'[1]Varias longitudes de onda'!V37</f>
        <v>0.6668669363849512</v>
      </c>
      <c r="W6" s="11">
        <f>'[1]Varias longitudes de onda'!W37</f>
        <v>2.3350022570369884</v>
      </c>
      <c r="X6" s="11">
        <f>'[1]Varias longitudes de onda'!X37</f>
        <v>0.71538171114203986</v>
      </c>
      <c r="Y6" s="11">
        <f>'[1]Varias longitudes de onda'!Y37</f>
        <v>4.2510159766645037</v>
      </c>
      <c r="Z6" s="11">
        <f>'[1]Varias longitudes de onda'!Z37</f>
        <v>2.1085037314841681</v>
      </c>
      <c r="AA6" s="11">
        <f>'[1]Varias longitudes de onda'!AA37</f>
        <v>1.1804796912465054</v>
      </c>
      <c r="AB6" s="11">
        <f>'[1]Varias longitudes de onda'!AB37</f>
        <v>2.7483092489877534</v>
      </c>
      <c r="AC6" s="11">
        <f>'[1]Varias longitudes de onda'!AC37</f>
        <v>1.9575462490191875</v>
      </c>
      <c r="AD6" s="11">
        <f>'[1]Varias longitudes de onda'!AD37</f>
        <v>2.2667692517550773</v>
      </c>
      <c r="AE6" s="11">
        <f>'[1]Varias longitudes de onda'!AE37</f>
        <v>1.8536971993806564</v>
      </c>
      <c r="AF6" s="11">
        <f>'[1]Varias longitudes de onda'!AF37</f>
        <v>2.7092831197611367</v>
      </c>
      <c r="AG6" s="11">
        <f>'[1]Varias longitudes de onda'!AG37</f>
        <v>3.6558740976338444</v>
      </c>
      <c r="AH6" s="11">
        <f>'[1]Varias longitudes de onda'!AH37</f>
        <v>8.3505377720404255</v>
      </c>
    </row>
    <row r="7" spans="1:34" x14ac:dyDescent="0.3">
      <c r="A7" s="6" t="str">
        <f>'[1]Varias longitudes de onda'!A38</f>
        <v xml:space="preserve">B/R </v>
      </c>
      <c r="B7" s="10" t="str">
        <f>'[1]Varias longitudes de onda'!B38</f>
        <v>443-676</v>
      </c>
      <c r="C7" s="11">
        <f>'[1]Varias longitudes de onda'!C38</f>
        <v>2.0938023981864906</v>
      </c>
      <c r="D7" s="11">
        <f>'[1]Varias longitudes de onda'!D38</f>
        <v>2.4746219874960107</v>
      </c>
      <c r="E7" s="11">
        <f>'[1]Varias longitudes de onda'!E38</f>
        <v>3.0620458809780486</v>
      </c>
      <c r="F7" s="11">
        <f>'[1]Varias longitudes de onda'!F38</f>
        <v>9.201670530164284</v>
      </c>
      <c r="G7" s="11">
        <f>'[1]Varias longitudes de onda'!G38</f>
        <v>4.7803586834267859</v>
      </c>
      <c r="H7" s="11">
        <f>'[1]Varias longitudes de onda'!H38</f>
        <v>3.1079031395449821</v>
      </c>
      <c r="I7" s="11">
        <f>'[1]Varias longitudes de onda'!I38</f>
        <v>1.7164566436665847</v>
      </c>
      <c r="J7" s="11">
        <f>'[1]Varias longitudes de onda'!J38</f>
        <v>1.8029997799229316</v>
      </c>
      <c r="K7" s="11">
        <f>'[1]Varias longitudes de onda'!K38</f>
        <v>2.4629272237319544</v>
      </c>
      <c r="L7" s="11">
        <f>'[1]Varias longitudes de onda'!L38</f>
        <v>2.4682804339628368</v>
      </c>
      <c r="M7" s="11">
        <f>'[1]Varias longitudes de onda'!M38</f>
        <v>1.4475560782804651</v>
      </c>
      <c r="N7" s="11" t="e">
        <f>'[1]Varias longitudes de onda'!N38</f>
        <v>#DIV/0!</v>
      </c>
      <c r="O7" s="11" t="e">
        <f>'[1]Varias longitudes de onda'!O38</f>
        <v>#DIV/0!</v>
      </c>
      <c r="P7" s="11" t="e">
        <f>'[1]Varias longitudes de onda'!P38</f>
        <v>#DIV/0!</v>
      </c>
      <c r="Q7" s="11" t="e">
        <f>'[1]Varias longitudes de onda'!Q38</f>
        <v>#DIV/0!</v>
      </c>
      <c r="R7" s="11" t="e">
        <f>'[1]Varias longitudes de onda'!R38</f>
        <v>#DIV/0!</v>
      </c>
      <c r="S7" s="11" t="e">
        <f>'[1]Varias longitudes de onda'!S38</f>
        <v>#DIV/0!</v>
      </c>
      <c r="T7" s="11" t="e">
        <f>'[1]Varias longitudes de onda'!T38</f>
        <v>#DIV/0!</v>
      </c>
      <c r="U7" s="11" t="e">
        <f>'[1]Varias longitudes de onda'!U38</f>
        <v>#DIV/0!</v>
      </c>
      <c r="V7" s="11">
        <f>'[1]Varias longitudes de onda'!V38</f>
        <v>0.86831373586318605</v>
      </c>
      <c r="W7" s="11">
        <f>'[1]Varias longitudes de onda'!W38</f>
        <v>2.2633018682297767</v>
      </c>
      <c r="X7" s="11">
        <f>'[1]Varias longitudes de onda'!X38</f>
        <v>1.0793157217364868</v>
      </c>
      <c r="Y7" s="11">
        <f>'[1]Varias longitudes de onda'!Y38</f>
        <v>4.1526023865494297</v>
      </c>
      <c r="Z7" s="11">
        <f>'[1]Varias longitudes de onda'!Z38</f>
        <v>1.9537129475667769</v>
      </c>
      <c r="AA7" s="11">
        <f>'[1]Varias longitudes de onda'!AA38</f>
        <v>1.1946981709722826</v>
      </c>
      <c r="AB7" s="11">
        <f>'[1]Varias longitudes de onda'!AB38</f>
        <v>2.6356536470774614</v>
      </c>
      <c r="AC7" s="11">
        <f>'[1]Varias longitudes de onda'!AC38</f>
        <v>1.9731630154942026</v>
      </c>
      <c r="AD7" s="11">
        <f>'[1]Varias longitudes de onda'!AD38</f>
        <v>2.058559282106887</v>
      </c>
      <c r="AE7" s="11">
        <f>'[1]Varias longitudes de onda'!AE38</f>
        <v>1.7520906730516732</v>
      </c>
      <c r="AF7" s="11">
        <f>'[1]Varias longitudes de onda'!AF38</f>
        <v>3.6927540395711178</v>
      </c>
      <c r="AG7" s="11">
        <f>'[1]Varias longitudes de onda'!AG38</f>
        <v>3.6578104864529348</v>
      </c>
      <c r="AH7" s="11">
        <f>'[1]Varias longitudes de onda'!AH38</f>
        <v>9.0800590985662932</v>
      </c>
    </row>
    <row r="9" spans="1:34" x14ac:dyDescent="0.3">
      <c r="A9" s="22" t="s">
        <v>33</v>
      </c>
      <c r="B9" s="22"/>
      <c r="C9" s="22"/>
      <c r="D9" s="19"/>
      <c r="E9" s="22" t="s">
        <v>34</v>
      </c>
      <c r="F9" s="22"/>
      <c r="G9" s="22"/>
    </row>
    <row r="10" spans="1:34" x14ac:dyDescent="0.3">
      <c r="A10" s="12" t="s">
        <v>35</v>
      </c>
      <c r="B10" s="6" t="s">
        <v>36</v>
      </c>
      <c r="C10" s="6">
        <f>COUNT(F6:H6,Y6,AG6:AH6)</f>
        <v>6</v>
      </c>
      <c r="E10" s="12" t="s">
        <v>35</v>
      </c>
      <c r="F10" s="6" t="s">
        <v>36</v>
      </c>
      <c r="G10" s="6">
        <f>COUNT(E7:H7,Y7,AF7:AH7)</f>
        <v>8</v>
      </c>
    </row>
    <row r="11" spans="1:34" x14ac:dyDescent="0.3">
      <c r="A11" s="13" t="s">
        <v>37</v>
      </c>
      <c r="B11" s="6" t="s">
        <v>38</v>
      </c>
      <c r="C11" s="6">
        <f>COUNT(C6,E6,I6:J6,M6,V6:X6,Z6:AA6,AC6:AE6)</f>
        <v>13</v>
      </c>
      <c r="E11" s="13" t="s">
        <v>37</v>
      </c>
      <c r="F11" s="6" t="s">
        <v>38</v>
      </c>
      <c r="G11" s="6">
        <f>COUNT(C7,D7,I7:M7,V7:X7,Z7:AA7,AC7:AE7)</f>
        <v>15</v>
      </c>
    </row>
    <row r="12" spans="1:34" x14ac:dyDescent="0.3">
      <c r="A12" s="14" t="s">
        <v>39</v>
      </c>
      <c r="B12" s="6" t="s">
        <v>40</v>
      </c>
      <c r="C12" s="6">
        <f>COUNT(D6,K6:L6,AB6,AF6)</f>
        <v>5</v>
      </c>
      <c r="E12" s="14" t="s">
        <v>39</v>
      </c>
      <c r="F12" s="6" t="s">
        <v>40</v>
      </c>
      <c r="G12" s="6">
        <f>COUNT(AB7)</f>
        <v>1</v>
      </c>
    </row>
    <row r="14" spans="1:34" x14ac:dyDescent="0.3">
      <c r="A14" s="23" t="s">
        <v>125</v>
      </c>
      <c r="B14" s="20" t="s">
        <v>69</v>
      </c>
      <c r="C14" s="11" t="s">
        <v>41</v>
      </c>
      <c r="D14" s="6" t="s">
        <v>42</v>
      </c>
      <c r="E14" s="6" t="s">
        <v>43</v>
      </c>
      <c r="F14" s="6" t="s">
        <v>44</v>
      </c>
      <c r="G14" s="6" t="s">
        <v>45</v>
      </c>
      <c r="H14" s="6" t="s">
        <v>46</v>
      </c>
      <c r="I14" s="6" t="s">
        <v>47</v>
      </c>
      <c r="J14" s="6" t="s">
        <v>48</v>
      </c>
      <c r="K14" s="6" t="s">
        <v>49</v>
      </c>
      <c r="L14" s="6" t="s">
        <v>50</v>
      </c>
      <c r="M14" s="6" t="s">
        <v>9</v>
      </c>
      <c r="N14" s="6" t="s">
        <v>8</v>
      </c>
      <c r="O14" s="6" t="s">
        <v>7</v>
      </c>
      <c r="P14" s="6" t="s">
        <v>20</v>
      </c>
      <c r="Q14" s="6" t="s">
        <v>21</v>
      </c>
      <c r="R14" s="6" t="s">
        <v>19</v>
      </c>
      <c r="S14" s="6" t="s">
        <v>23</v>
      </c>
      <c r="T14" s="6" t="s">
        <v>24</v>
      </c>
      <c r="U14" s="6" t="s">
        <v>28</v>
      </c>
      <c r="V14" s="6" t="s">
        <v>51</v>
      </c>
      <c r="W14" s="6" t="s">
        <v>52</v>
      </c>
      <c r="X14" s="6" t="s">
        <v>53</v>
      </c>
      <c r="Y14" s="6" t="s">
        <v>54</v>
      </c>
    </row>
    <row r="15" spans="1:34" x14ac:dyDescent="0.3">
      <c r="A15" s="23"/>
      <c r="B15" s="21"/>
      <c r="C15" s="6" t="s">
        <v>102</v>
      </c>
      <c r="D15" s="6" t="s">
        <v>103</v>
      </c>
      <c r="E15" s="6" t="s">
        <v>104</v>
      </c>
      <c r="F15" s="6" t="s">
        <v>105</v>
      </c>
      <c r="G15" s="6" t="s">
        <v>106</v>
      </c>
      <c r="H15" s="6" t="s">
        <v>107</v>
      </c>
      <c r="I15" s="6" t="s">
        <v>108</v>
      </c>
      <c r="J15" s="6" t="s">
        <v>109</v>
      </c>
      <c r="K15" s="6" t="s">
        <v>110</v>
      </c>
      <c r="L15" s="6" t="s">
        <v>111</v>
      </c>
      <c r="M15" s="6" t="s">
        <v>112</v>
      </c>
      <c r="N15" s="6" t="s">
        <v>113</v>
      </c>
      <c r="O15" s="6" t="s">
        <v>114</v>
      </c>
      <c r="P15" s="6" t="s">
        <v>115</v>
      </c>
      <c r="Q15" s="6" t="s">
        <v>116</v>
      </c>
      <c r="R15" s="6" t="s">
        <v>117</v>
      </c>
      <c r="S15" s="6" t="s">
        <v>118</v>
      </c>
      <c r="T15" s="6" t="s">
        <v>119</v>
      </c>
      <c r="U15" s="6" t="s">
        <v>120</v>
      </c>
      <c r="V15" s="6" t="s">
        <v>121</v>
      </c>
      <c r="W15" s="6" t="s">
        <v>122</v>
      </c>
      <c r="X15" s="6" t="s">
        <v>123</v>
      </c>
      <c r="Y15" s="6" t="s">
        <v>124</v>
      </c>
    </row>
    <row r="16" spans="1:34" x14ac:dyDescent="0.3">
      <c r="A16" s="23"/>
      <c r="B16" s="6" t="s">
        <v>63</v>
      </c>
      <c r="C16" s="15">
        <v>29.12</v>
      </c>
      <c r="D16" s="15">
        <v>29.08</v>
      </c>
      <c r="E16" s="15">
        <v>28.6</v>
      </c>
      <c r="F16" s="15">
        <v>29.39</v>
      </c>
      <c r="G16" s="15">
        <v>29.34</v>
      </c>
      <c r="H16" s="15">
        <v>31.28</v>
      </c>
      <c r="I16" s="15">
        <v>29.84</v>
      </c>
      <c r="J16" s="15">
        <v>31.31</v>
      </c>
      <c r="K16" s="15">
        <v>30.45</v>
      </c>
      <c r="L16" s="15">
        <v>29.84</v>
      </c>
      <c r="M16" s="15">
        <v>30.61</v>
      </c>
      <c r="N16" s="15">
        <v>29.82</v>
      </c>
      <c r="O16" s="15">
        <v>28.04</v>
      </c>
      <c r="P16" s="15">
        <v>28.39</v>
      </c>
      <c r="Q16" s="15">
        <v>29.17</v>
      </c>
      <c r="R16" s="15">
        <v>28.94</v>
      </c>
      <c r="S16" s="15">
        <v>28.94</v>
      </c>
      <c r="T16" s="15">
        <v>29.31</v>
      </c>
      <c r="U16" s="15">
        <v>31.08</v>
      </c>
      <c r="V16" s="15">
        <v>28.81</v>
      </c>
      <c r="W16" s="15">
        <v>29.79</v>
      </c>
      <c r="X16" s="15">
        <v>30.86</v>
      </c>
      <c r="Y16" s="15">
        <v>30.75</v>
      </c>
    </row>
    <row r="17" spans="1:34" x14ac:dyDescent="0.3">
      <c r="A17" s="23"/>
      <c r="B17" s="6" t="s">
        <v>64</v>
      </c>
      <c r="C17" s="15">
        <v>28.6</v>
      </c>
      <c r="D17" s="15">
        <v>27.84</v>
      </c>
      <c r="E17" s="15">
        <v>27.69</v>
      </c>
      <c r="F17" s="15">
        <v>25.65</v>
      </c>
      <c r="G17" s="15">
        <v>21.18</v>
      </c>
      <c r="H17" s="15">
        <v>31.26</v>
      </c>
      <c r="I17" s="15">
        <v>19.43</v>
      </c>
      <c r="J17" s="15">
        <v>17.54</v>
      </c>
      <c r="K17" s="15">
        <v>21.06</v>
      </c>
      <c r="L17" s="15">
        <v>30.37</v>
      </c>
      <c r="M17" s="15">
        <v>22.25</v>
      </c>
      <c r="N17" s="15">
        <v>26.01</v>
      </c>
      <c r="O17" s="15">
        <v>30.65</v>
      </c>
      <c r="P17" s="15">
        <v>26.26</v>
      </c>
      <c r="Q17" s="15">
        <v>22.9</v>
      </c>
      <c r="R17" s="15">
        <v>25.12</v>
      </c>
      <c r="S17" s="15">
        <v>28.59</v>
      </c>
      <c r="T17" s="16">
        <v>33.5</v>
      </c>
      <c r="U17" s="15">
        <v>33.32</v>
      </c>
      <c r="V17" s="15">
        <v>29.63</v>
      </c>
      <c r="W17" s="15">
        <v>20.440000000000001</v>
      </c>
      <c r="X17" s="15">
        <v>15.83</v>
      </c>
      <c r="Y17" s="15">
        <v>16.010000000000002</v>
      </c>
    </row>
    <row r="18" spans="1:34" x14ac:dyDescent="0.3">
      <c r="A18" s="21"/>
      <c r="B18" s="6" t="s">
        <v>65</v>
      </c>
      <c r="C18" s="8">
        <v>8.01</v>
      </c>
      <c r="D18" s="8">
        <v>7.5</v>
      </c>
      <c r="E18" s="8">
        <v>4.12</v>
      </c>
      <c r="F18" s="8">
        <v>183.5</v>
      </c>
      <c r="G18" s="8">
        <v>63.7</v>
      </c>
      <c r="H18" s="8">
        <v>19.899999999999999</v>
      </c>
      <c r="I18" s="8">
        <v>21.3</v>
      </c>
      <c r="J18" s="8">
        <v>22.5</v>
      </c>
      <c r="K18" s="8">
        <v>18.46</v>
      </c>
      <c r="L18" s="8">
        <v>10.17</v>
      </c>
      <c r="M18" s="8">
        <v>11.35</v>
      </c>
      <c r="N18" s="8">
        <v>10.37</v>
      </c>
      <c r="O18" s="8">
        <v>6.2</v>
      </c>
      <c r="P18" s="8">
        <v>3.68</v>
      </c>
      <c r="Q18" s="8">
        <v>5.61</v>
      </c>
      <c r="R18" s="8">
        <v>6.44</v>
      </c>
      <c r="S18" s="8">
        <v>4.67</v>
      </c>
      <c r="T18" s="8">
        <v>5.18</v>
      </c>
      <c r="U18" s="8">
        <v>9.66</v>
      </c>
      <c r="V18" s="8">
        <v>3.1</v>
      </c>
      <c r="W18" s="8">
        <v>9.66</v>
      </c>
      <c r="X18" s="8">
        <v>13.32</v>
      </c>
      <c r="Y18" s="8">
        <v>14.02</v>
      </c>
    </row>
    <row r="19" spans="1:34" x14ac:dyDescent="0.3">
      <c r="A19" s="6" t="s">
        <v>32</v>
      </c>
      <c r="B19" s="10" t="s">
        <v>33</v>
      </c>
      <c r="C19" s="11">
        <v>1.8731384603370795</v>
      </c>
      <c r="D19" s="11">
        <v>2.841081080518423</v>
      </c>
      <c r="E19" s="11">
        <v>2.9457461637170832</v>
      </c>
      <c r="F19" s="11">
        <v>10.201274739703308</v>
      </c>
      <c r="G19" s="11">
        <v>8.3683674333404046</v>
      </c>
      <c r="H19" s="11">
        <v>6.5397410856607818</v>
      </c>
      <c r="I19" s="11">
        <v>4.0875686406797236</v>
      </c>
      <c r="J19" s="11">
        <v>3.7171112075962807</v>
      </c>
      <c r="K19" s="11">
        <v>4.1938085926615845</v>
      </c>
      <c r="L19" s="11">
        <v>3.00645698380686</v>
      </c>
      <c r="M19" s="11">
        <v>3.1595526258826783</v>
      </c>
      <c r="N19" s="11">
        <v>2.4828342585311143</v>
      </c>
      <c r="O19" s="11">
        <v>2.6911158442056311</v>
      </c>
      <c r="P19" s="11">
        <v>2.5373837821029528</v>
      </c>
      <c r="Q19" s="11">
        <v>3.2687318024115322</v>
      </c>
      <c r="R19" s="11">
        <v>2.7543894569420857</v>
      </c>
      <c r="S19" s="11">
        <v>2.1971206766111862</v>
      </c>
      <c r="T19" s="11">
        <v>2.201442183565343</v>
      </c>
      <c r="U19" s="11">
        <v>2.3872840725565689</v>
      </c>
      <c r="V19" s="11">
        <v>2.4883816822613762</v>
      </c>
      <c r="W19" s="11">
        <v>2.5958939920262951</v>
      </c>
      <c r="X19" s="11">
        <v>2.6706120809612988</v>
      </c>
      <c r="Y19" s="11">
        <v>2.832428370614382</v>
      </c>
    </row>
    <row r="20" spans="1:34" x14ac:dyDescent="0.3">
      <c r="A20" s="6" t="s">
        <v>32</v>
      </c>
      <c r="B20" s="10" t="s">
        <v>34</v>
      </c>
      <c r="C20" s="11">
        <v>1.8271606891674821</v>
      </c>
      <c r="D20" s="11">
        <v>2.6863807544394582</v>
      </c>
      <c r="E20" s="11">
        <v>2.7566362315922217</v>
      </c>
      <c r="F20" s="11">
        <v>9.1943612376552881</v>
      </c>
      <c r="G20" s="11">
        <v>8.2263433573280835</v>
      </c>
      <c r="H20" s="11">
        <v>6.0469342073772117</v>
      </c>
      <c r="I20" s="11">
        <v>3.8849205877652908</v>
      </c>
      <c r="J20" s="11">
        <v>3.5739944606899576</v>
      </c>
      <c r="K20" s="11">
        <v>3.8011308860597461</v>
      </c>
      <c r="L20" s="11">
        <v>2.8408370091907549</v>
      </c>
      <c r="M20" s="11">
        <v>2.940057777232703</v>
      </c>
      <c r="N20" s="11">
        <v>2.3706601344360552</v>
      </c>
      <c r="O20" s="11">
        <v>2.5986868865961652</v>
      </c>
      <c r="P20" s="11">
        <v>2.3620452209913294</v>
      </c>
      <c r="Q20" s="11">
        <v>3.0036053303369994</v>
      </c>
      <c r="R20" s="11">
        <v>2.5865959512052195</v>
      </c>
      <c r="S20" s="11">
        <v>2.1384199299487707</v>
      </c>
      <c r="T20" s="11">
        <v>2.1509616132344411</v>
      </c>
      <c r="U20" s="11">
        <v>2.2998297354039519</v>
      </c>
      <c r="V20" s="11">
        <v>2.3309741425084298</v>
      </c>
      <c r="W20" s="11">
        <v>2.4179460924945633</v>
      </c>
      <c r="X20" s="11">
        <v>2.5407616234573012</v>
      </c>
      <c r="Y20" s="11">
        <v>2.6372791915983811</v>
      </c>
    </row>
    <row r="21" spans="1:34" x14ac:dyDescent="0.3">
      <c r="G21" s="18"/>
    </row>
    <row r="22" spans="1:34" x14ac:dyDescent="0.3">
      <c r="A22" s="22" t="s">
        <v>33</v>
      </c>
      <c r="B22" s="22"/>
      <c r="C22" s="22"/>
      <c r="E22" s="22" t="s">
        <v>34</v>
      </c>
      <c r="F22" s="22"/>
      <c r="G22" s="22"/>
    </row>
    <row r="23" spans="1:34" x14ac:dyDescent="0.3">
      <c r="A23" s="12" t="s">
        <v>35</v>
      </c>
      <c r="B23" s="6" t="s">
        <v>36</v>
      </c>
      <c r="C23" s="6">
        <f>COUNT(F19:M19,Q19)</f>
        <v>9</v>
      </c>
      <c r="E23" s="12" t="s">
        <v>35</v>
      </c>
      <c r="F23" s="6" t="s">
        <v>36</v>
      </c>
      <c r="G23" s="6">
        <f>COUNT(F20:K20,Q20)</f>
        <v>7</v>
      </c>
    </row>
    <row r="24" spans="1:34" x14ac:dyDescent="0.3">
      <c r="A24" s="13" t="s">
        <v>37</v>
      </c>
      <c r="B24" s="6" t="s">
        <v>38</v>
      </c>
      <c r="C24" s="6">
        <f>COUNT(C19,N19,S19:V19)</f>
        <v>6</v>
      </c>
      <c r="E24" s="13" t="s">
        <v>37</v>
      </c>
      <c r="F24" s="6" t="s">
        <v>38</v>
      </c>
      <c r="G24" s="6">
        <f>COUNT(C20,N20,P20,S20:W20)</f>
        <v>8</v>
      </c>
    </row>
    <row r="25" spans="1:34" x14ac:dyDescent="0.3">
      <c r="A25" s="14" t="s">
        <v>39</v>
      </c>
      <c r="B25" s="6" t="s">
        <v>40</v>
      </c>
      <c r="C25" s="6">
        <f>COUNT(D19:E19,O19:P19,R19,W19:Y19)</f>
        <v>8</v>
      </c>
      <c r="E25" s="14" t="s">
        <v>39</v>
      </c>
      <c r="F25" s="6" t="s">
        <v>40</v>
      </c>
      <c r="G25" s="6">
        <f>COUNT(D20:E20,L20:M20,O20,R20,X20:Y20)</f>
        <v>8</v>
      </c>
    </row>
    <row r="27" spans="1:34" x14ac:dyDescent="0.3">
      <c r="A27" s="23" t="s">
        <v>155</v>
      </c>
      <c r="B27" s="20" t="s">
        <v>69</v>
      </c>
      <c r="C27" s="6" t="s">
        <v>61</v>
      </c>
      <c r="D27" s="6" t="s">
        <v>62</v>
      </c>
      <c r="E27" s="6" t="s">
        <v>55</v>
      </c>
      <c r="F27" s="6" t="s">
        <v>43</v>
      </c>
      <c r="G27" s="6" t="s">
        <v>42</v>
      </c>
      <c r="H27" s="6" t="s">
        <v>41</v>
      </c>
      <c r="I27" s="6" t="s">
        <v>45</v>
      </c>
      <c r="J27" s="6" t="s">
        <v>44</v>
      </c>
      <c r="K27" s="6" t="s">
        <v>46</v>
      </c>
      <c r="L27" s="6" t="s">
        <v>47</v>
      </c>
      <c r="M27" s="6" t="s">
        <v>48</v>
      </c>
      <c r="N27" s="6" t="s">
        <v>49</v>
      </c>
      <c r="O27" s="6" t="s">
        <v>50</v>
      </c>
      <c r="P27" s="6" t="s">
        <v>8</v>
      </c>
      <c r="Q27" s="6" t="s">
        <v>54</v>
      </c>
      <c r="R27" s="6" t="s">
        <v>9</v>
      </c>
      <c r="S27" s="6" t="s">
        <v>11</v>
      </c>
      <c r="T27" s="6" t="s">
        <v>58</v>
      </c>
      <c r="U27" s="6" t="s">
        <v>59</v>
      </c>
      <c r="V27" s="6" t="s">
        <v>16</v>
      </c>
      <c r="W27" s="6" t="s">
        <v>6</v>
      </c>
      <c r="X27" s="6" t="s">
        <v>7</v>
      </c>
      <c r="Y27" s="6" t="s">
        <v>17</v>
      </c>
      <c r="Z27" s="6" t="s">
        <v>21</v>
      </c>
      <c r="AA27" s="6" t="s">
        <v>19</v>
      </c>
      <c r="AB27" s="6" t="s">
        <v>23</v>
      </c>
      <c r="AC27" s="6" t="s">
        <v>24</v>
      </c>
      <c r="AD27" s="6" t="s">
        <v>20</v>
      </c>
      <c r="AE27" s="6" t="s">
        <v>51</v>
      </c>
      <c r="AF27" s="6" t="s">
        <v>28</v>
      </c>
      <c r="AG27" s="6" t="s">
        <v>52</v>
      </c>
      <c r="AH27" s="6" t="s">
        <v>53</v>
      </c>
    </row>
    <row r="28" spans="1:34" x14ac:dyDescent="0.3">
      <c r="A28" s="23"/>
      <c r="B28" s="21"/>
      <c r="C28" s="6" t="s">
        <v>156</v>
      </c>
      <c r="D28" s="6" t="s">
        <v>157</v>
      </c>
      <c r="E28" s="6" t="s">
        <v>158</v>
      </c>
      <c r="F28" s="6" t="s">
        <v>159</v>
      </c>
      <c r="G28" s="6" t="s">
        <v>160</v>
      </c>
      <c r="H28" s="6" t="s">
        <v>161</v>
      </c>
      <c r="I28" s="6" t="s">
        <v>162</v>
      </c>
      <c r="J28" s="6" t="s">
        <v>163</v>
      </c>
      <c r="K28" s="6" t="s">
        <v>164</v>
      </c>
      <c r="L28" s="6" t="s">
        <v>165</v>
      </c>
      <c r="M28" s="6" t="s">
        <v>166</v>
      </c>
      <c r="N28" s="6" t="s">
        <v>167</v>
      </c>
      <c r="O28" s="6" t="s">
        <v>168</v>
      </c>
      <c r="P28" s="6" t="s">
        <v>169</v>
      </c>
      <c r="Q28" s="6" t="s">
        <v>170</v>
      </c>
      <c r="R28" s="6" t="s">
        <v>171</v>
      </c>
      <c r="S28" s="6" t="s">
        <v>172</v>
      </c>
      <c r="T28" s="6" t="s">
        <v>173</v>
      </c>
      <c r="U28" s="6" t="s">
        <v>174</v>
      </c>
      <c r="V28" s="6" t="s">
        <v>175</v>
      </c>
      <c r="W28" s="6" t="s">
        <v>176</v>
      </c>
      <c r="X28" s="6" t="s">
        <v>177</v>
      </c>
      <c r="Y28" s="6" t="s">
        <v>178</v>
      </c>
      <c r="Z28" s="6" t="s">
        <v>179</v>
      </c>
      <c r="AA28" s="6" t="s">
        <v>180</v>
      </c>
      <c r="AB28" s="6" t="s">
        <v>181</v>
      </c>
      <c r="AC28" s="6" t="s">
        <v>182</v>
      </c>
      <c r="AD28" s="6" t="s">
        <v>183</v>
      </c>
      <c r="AE28" s="6" t="s">
        <v>184</v>
      </c>
      <c r="AF28" s="6" t="s">
        <v>185</v>
      </c>
      <c r="AG28" s="6" t="s">
        <v>186</v>
      </c>
      <c r="AH28" s="6" t="s">
        <v>187</v>
      </c>
    </row>
    <row r="29" spans="1:34" x14ac:dyDescent="0.3">
      <c r="A29" s="23"/>
      <c r="B29" s="6" t="s">
        <v>63</v>
      </c>
      <c r="C29" s="4">
        <v>30.5</v>
      </c>
      <c r="D29" s="4">
        <v>31</v>
      </c>
      <c r="E29" s="4">
        <v>30.8</v>
      </c>
      <c r="F29" s="4">
        <v>31.8</v>
      </c>
      <c r="G29" s="4">
        <v>31.5</v>
      </c>
      <c r="H29" s="4">
        <v>32.200000000000003</v>
      </c>
      <c r="I29" s="4">
        <v>31.6</v>
      </c>
      <c r="J29" s="4">
        <v>32.200000000000003</v>
      </c>
      <c r="K29" s="4">
        <v>32.1</v>
      </c>
      <c r="L29" s="4">
        <v>32.1</v>
      </c>
      <c r="M29" s="4">
        <v>33</v>
      </c>
      <c r="N29" s="4">
        <v>29.9</v>
      </c>
      <c r="O29" s="4">
        <v>32.700000000000003</v>
      </c>
      <c r="P29" s="4">
        <v>29.6</v>
      </c>
      <c r="Q29" s="4">
        <v>33</v>
      </c>
      <c r="R29" s="4">
        <v>32.9</v>
      </c>
      <c r="S29" s="4">
        <v>31.7</v>
      </c>
      <c r="T29" s="4">
        <v>31</v>
      </c>
      <c r="U29" s="4">
        <v>31</v>
      </c>
      <c r="V29" s="4">
        <v>31.3</v>
      </c>
      <c r="W29" s="4">
        <v>31.3</v>
      </c>
      <c r="X29" s="4">
        <v>31.3</v>
      </c>
      <c r="Y29" s="4">
        <v>32.200000000000003</v>
      </c>
      <c r="Z29" s="4">
        <v>32.299999999999997</v>
      </c>
      <c r="AA29" s="4">
        <v>31.9</v>
      </c>
      <c r="AB29" s="4">
        <v>31.8</v>
      </c>
      <c r="AC29" s="4">
        <v>31.9</v>
      </c>
      <c r="AD29" s="4">
        <v>33</v>
      </c>
      <c r="AE29" s="4">
        <v>32.200000000000003</v>
      </c>
      <c r="AF29" s="4">
        <v>33.6</v>
      </c>
      <c r="AG29" s="4">
        <v>32.5</v>
      </c>
      <c r="AH29" s="4">
        <v>33.4</v>
      </c>
    </row>
    <row r="30" spans="1:34" x14ac:dyDescent="0.3">
      <c r="A30" s="23"/>
      <c r="B30" s="6" t="s">
        <v>64</v>
      </c>
      <c r="C30" s="4">
        <v>29.4</v>
      </c>
      <c r="D30" s="4">
        <v>31.1</v>
      </c>
      <c r="E30" s="4">
        <v>31.3</v>
      </c>
      <c r="F30" s="4">
        <v>15.3</v>
      </c>
      <c r="G30" s="4">
        <v>22</v>
      </c>
      <c r="H30" s="4">
        <v>22.6</v>
      </c>
      <c r="I30" s="4">
        <v>21.6</v>
      </c>
      <c r="J30" s="4">
        <v>17.600000000000001</v>
      </c>
      <c r="K30" s="4">
        <v>11.4</v>
      </c>
      <c r="L30" s="4">
        <v>8.4</v>
      </c>
      <c r="M30" s="4">
        <v>9.9</v>
      </c>
      <c r="N30" s="4">
        <v>17</v>
      </c>
      <c r="O30" s="4">
        <v>20.6</v>
      </c>
      <c r="P30" s="4">
        <v>20.6</v>
      </c>
      <c r="Q30" s="4">
        <v>32.4</v>
      </c>
      <c r="R30" s="4">
        <v>19.2</v>
      </c>
      <c r="S30" s="4">
        <v>33.700000000000003</v>
      </c>
      <c r="T30" s="4">
        <v>33.700000000000003</v>
      </c>
      <c r="U30" s="4">
        <v>33.299999999999997</v>
      </c>
      <c r="V30" s="4">
        <v>22.1</v>
      </c>
      <c r="W30" s="4">
        <v>27.5</v>
      </c>
      <c r="X30" s="4">
        <v>20.7</v>
      </c>
      <c r="Y30" s="4">
        <v>17.600000000000001</v>
      </c>
      <c r="Z30" s="4">
        <v>18.100000000000001</v>
      </c>
      <c r="AA30" s="4">
        <v>17.399999999999999</v>
      </c>
      <c r="AB30" s="4">
        <v>23.2</v>
      </c>
      <c r="AC30" s="4">
        <v>24.3</v>
      </c>
      <c r="AD30" s="4">
        <v>18.2</v>
      </c>
      <c r="AE30" s="4">
        <v>27.7</v>
      </c>
      <c r="AF30" s="4">
        <v>25.5</v>
      </c>
      <c r="AG30" s="4">
        <v>22.5</v>
      </c>
      <c r="AH30" s="4">
        <v>14</v>
      </c>
    </row>
    <row r="31" spans="1:34" x14ac:dyDescent="0.3">
      <c r="A31" s="21"/>
      <c r="B31" s="6" t="s">
        <v>65</v>
      </c>
      <c r="C31" s="5">
        <v>0.46</v>
      </c>
      <c r="D31" s="5">
        <v>0</v>
      </c>
      <c r="E31" s="5">
        <v>0</v>
      </c>
      <c r="F31" s="5">
        <v>5.81</v>
      </c>
      <c r="G31" s="5">
        <v>2.2400000000000002</v>
      </c>
      <c r="H31" s="5">
        <v>0.11</v>
      </c>
      <c r="I31" s="5">
        <v>61.7</v>
      </c>
      <c r="J31" s="5">
        <v>19.559999999999999</v>
      </c>
      <c r="K31" s="5">
        <v>7.2</v>
      </c>
      <c r="L31" s="5">
        <v>134.1</v>
      </c>
      <c r="M31" s="5">
        <v>15.62</v>
      </c>
      <c r="N31" s="5">
        <v>4.0199999999999996</v>
      </c>
      <c r="O31" s="5">
        <v>1.25</v>
      </c>
      <c r="P31" s="5">
        <v>8.74</v>
      </c>
      <c r="Q31" s="5">
        <v>1.25</v>
      </c>
      <c r="R31" s="5">
        <v>5.5</v>
      </c>
      <c r="S31" s="5">
        <v>4.83</v>
      </c>
      <c r="T31" s="5">
        <v>0.61</v>
      </c>
      <c r="U31" s="5">
        <v>4.38</v>
      </c>
      <c r="V31" s="5">
        <v>4.54</v>
      </c>
      <c r="W31" s="5">
        <v>1.61</v>
      </c>
      <c r="X31" s="5">
        <v>11.32</v>
      </c>
      <c r="Y31" s="5">
        <v>15.61</v>
      </c>
      <c r="Z31" s="5">
        <v>3.51</v>
      </c>
      <c r="AA31" s="5">
        <v>3.38</v>
      </c>
      <c r="AB31" s="5">
        <v>2.52</v>
      </c>
      <c r="AC31" s="5">
        <v>0.86</v>
      </c>
      <c r="AD31" s="5">
        <v>11.03</v>
      </c>
      <c r="AE31" s="5">
        <v>3.96</v>
      </c>
      <c r="AF31" s="5">
        <v>0.99</v>
      </c>
      <c r="AG31" s="5">
        <v>5.7</v>
      </c>
      <c r="AH31" s="5">
        <v>0.33</v>
      </c>
    </row>
    <row r="32" spans="1:34" ht="14.25" customHeight="1" x14ac:dyDescent="0.3">
      <c r="A32" s="6" t="s">
        <v>32</v>
      </c>
      <c r="B32" s="10" t="s">
        <v>33</v>
      </c>
      <c r="C32" s="17">
        <v>2.8511195190694729</v>
      </c>
      <c r="D32" s="17" t="e">
        <v>#VALUE!</v>
      </c>
      <c r="E32" s="17">
        <v>3.3075332175688534</v>
      </c>
      <c r="F32" s="17">
        <v>2.4868329537485803</v>
      </c>
      <c r="G32" s="17">
        <v>2.5112196896428434</v>
      </c>
      <c r="H32" s="17">
        <v>2.387061566097104</v>
      </c>
      <c r="I32" s="17" t="e">
        <v>#DIV/0!</v>
      </c>
      <c r="J32" s="17" t="e">
        <v>#DIV/0!</v>
      </c>
      <c r="K32" s="17">
        <v>2.5594232768381602</v>
      </c>
      <c r="L32" s="17">
        <v>2.3388431121889575</v>
      </c>
      <c r="M32" s="17">
        <v>1.764796498751686</v>
      </c>
      <c r="N32" s="17">
        <v>2.3206120356464934</v>
      </c>
      <c r="O32" s="17">
        <v>1.9469910605204237</v>
      </c>
      <c r="P32" s="17">
        <v>2.1488450564874388</v>
      </c>
      <c r="Q32" s="17">
        <v>1.9813611285881423</v>
      </c>
      <c r="R32" s="17">
        <v>2.100239994919241</v>
      </c>
      <c r="S32" s="17">
        <v>2.6183667700070465</v>
      </c>
      <c r="T32" s="17">
        <v>3.5298325529164374</v>
      </c>
      <c r="U32" s="17">
        <v>3.1225379324751024</v>
      </c>
      <c r="V32" s="17">
        <v>1.9835962205249278</v>
      </c>
      <c r="W32" s="17">
        <v>2.1301151722682072</v>
      </c>
      <c r="X32" s="17">
        <v>2.2536571179325411</v>
      </c>
      <c r="Y32" s="17">
        <v>2.0262255601069064</v>
      </c>
      <c r="Z32" s="17">
        <v>2.1718088000966511</v>
      </c>
      <c r="AA32" s="17">
        <v>2.0274890277295827</v>
      </c>
      <c r="AB32" s="17">
        <v>2.328672396664174</v>
      </c>
      <c r="AC32" s="17">
        <v>1.7545001064627992</v>
      </c>
      <c r="AD32" s="17">
        <v>2.0096235169364385</v>
      </c>
      <c r="AE32" s="17">
        <v>2.1611484804241319</v>
      </c>
      <c r="AF32" s="17">
        <v>1.8279056567467169</v>
      </c>
      <c r="AG32" s="17">
        <v>1.9381388299016928</v>
      </c>
      <c r="AH32" s="17">
        <v>2.3247425962034174</v>
      </c>
    </row>
    <row r="33" spans="1:34" ht="14.25" customHeight="1" x14ac:dyDescent="0.3">
      <c r="A33" s="6" t="s">
        <v>32</v>
      </c>
      <c r="B33" s="10" t="s">
        <v>60</v>
      </c>
      <c r="C33" s="6">
        <v>2.4783879115639604</v>
      </c>
      <c r="D33" s="6" t="e">
        <v>#VALUE!</v>
      </c>
      <c r="E33" s="6">
        <v>2.5807545622615717</v>
      </c>
      <c r="F33" s="6">
        <v>2.2250533204859821</v>
      </c>
      <c r="G33" s="6">
        <v>2.3176017772894486</v>
      </c>
      <c r="H33" s="6">
        <v>2.2470933978708985</v>
      </c>
      <c r="I33" s="6" t="e">
        <v>#DIV/0!</v>
      </c>
      <c r="J33" s="6" t="e">
        <v>#DIV/0!</v>
      </c>
      <c r="K33" s="6">
        <v>2.405657100688686</v>
      </c>
      <c r="L33" s="6">
        <v>2.1997526382867987</v>
      </c>
      <c r="M33" s="6">
        <v>1.6588847998843905</v>
      </c>
      <c r="N33" s="6">
        <v>2.0814819761967178</v>
      </c>
      <c r="O33" s="6">
        <v>1.8586415254473008</v>
      </c>
      <c r="P33" s="6">
        <v>2.0217179275280177</v>
      </c>
      <c r="Q33" s="6">
        <v>1.8588952478424663</v>
      </c>
      <c r="R33" s="6">
        <v>2.0004844141600957</v>
      </c>
      <c r="S33" s="6">
        <v>2.3694795685561711</v>
      </c>
      <c r="T33" s="6">
        <v>3.2180754364430788</v>
      </c>
      <c r="U33" s="6">
        <v>2.8531028409555161</v>
      </c>
      <c r="V33" s="6">
        <v>1.8865158515258189</v>
      </c>
      <c r="W33" s="6">
        <v>1.9342888417955162</v>
      </c>
      <c r="X33" s="6">
        <v>2.1319855196518054</v>
      </c>
      <c r="Y33" s="6">
        <v>1.9358740655247055</v>
      </c>
      <c r="Z33" s="6">
        <v>2.0515341117615158</v>
      </c>
      <c r="AA33" s="6">
        <v>1.9089992060696468</v>
      </c>
      <c r="AB33" s="6">
        <v>2.1791172978112683</v>
      </c>
      <c r="AC33" s="6">
        <v>1.6699673835067768</v>
      </c>
      <c r="AD33" s="6">
        <v>1.890282602815559</v>
      </c>
      <c r="AE33" s="6">
        <v>2.0076543636573341</v>
      </c>
      <c r="AF33" s="6">
        <v>1.7084895851155659</v>
      </c>
      <c r="AG33" s="6">
        <v>1.8121410146269519</v>
      </c>
      <c r="AH33" s="6">
        <v>2.1413985243902216</v>
      </c>
    </row>
    <row r="34" spans="1:34" x14ac:dyDescent="0.3">
      <c r="G34" s="18"/>
    </row>
    <row r="35" spans="1:34" x14ac:dyDescent="0.3">
      <c r="A35" s="22" t="s">
        <v>33</v>
      </c>
      <c r="B35" s="22"/>
      <c r="C35" s="22"/>
      <c r="D35" s="19"/>
      <c r="E35" s="22" t="s">
        <v>34</v>
      </c>
      <c r="F35" s="22"/>
      <c r="G35" s="22"/>
    </row>
    <row r="36" spans="1:34" x14ac:dyDescent="0.3">
      <c r="A36" s="12" t="s">
        <v>35</v>
      </c>
      <c r="B36" s="6" t="s">
        <v>36</v>
      </c>
      <c r="C36" s="6">
        <f>COUNT(E32,T32:U32)</f>
        <v>3</v>
      </c>
      <c r="E36" s="12" t="s">
        <v>35</v>
      </c>
      <c r="F36" s="6" t="s">
        <v>36</v>
      </c>
      <c r="G36" s="6">
        <f>COUNT(T33)</f>
        <v>1</v>
      </c>
    </row>
    <row r="37" spans="1:34" x14ac:dyDescent="0.3">
      <c r="A37" s="13" t="s">
        <v>37</v>
      </c>
      <c r="B37" s="6" t="s">
        <v>38</v>
      </c>
      <c r="C37" s="6">
        <f>COUNT(F32,H32,L32:R32,V32:AH32)</f>
        <v>22</v>
      </c>
      <c r="E37" s="13" t="s">
        <v>37</v>
      </c>
      <c r="F37" s="6" t="s">
        <v>38</v>
      </c>
      <c r="G37" s="6">
        <f>COUNT(C33,F33:H33,K33:S33,V33:AH33)</f>
        <v>26</v>
      </c>
    </row>
    <row r="38" spans="1:34" x14ac:dyDescent="0.3">
      <c r="A38" s="14" t="s">
        <v>39</v>
      </c>
      <c r="B38" s="6" t="s">
        <v>40</v>
      </c>
      <c r="C38" s="6">
        <f>COUNT(C32,G32,K32,S32)</f>
        <v>4</v>
      </c>
      <c r="E38" s="14" t="s">
        <v>39</v>
      </c>
      <c r="F38" s="6" t="s">
        <v>40</v>
      </c>
      <c r="G38" s="6">
        <f>COUNT(E33,U33)</f>
        <v>2</v>
      </c>
    </row>
  </sheetData>
  <mergeCells count="12">
    <mergeCell ref="E35:G35"/>
    <mergeCell ref="A35:C35"/>
    <mergeCell ref="A14:A18"/>
    <mergeCell ref="B1:B2"/>
    <mergeCell ref="B27:B28"/>
    <mergeCell ref="B14:B15"/>
    <mergeCell ref="E9:G9"/>
    <mergeCell ref="A9:C9"/>
    <mergeCell ref="A22:C22"/>
    <mergeCell ref="E22:G22"/>
    <mergeCell ref="A27:A31"/>
    <mergeCell ref="A1:A5"/>
  </mergeCells>
  <conditionalFormatting sqref="A19:Y20">
    <cfRule type="cellIs" dxfId="14" priority="7" operator="between">
      <formula>2.5</formula>
      <formula>3</formula>
    </cfRule>
    <cfRule type="cellIs" dxfId="13" priority="8" operator="lessThan">
      <formula>2.5</formula>
    </cfRule>
    <cfRule type="cellIs" dxfId="12" priority="9" operator="greaterThan">
      <formula>3</formula>
    </cfRule>
  </conditionalFormatting>
  <conditionalFormatting sqref="A6:AH7">
    <cfRule type="cellIs" dxfId="11" priority="1" operator="lessThan">
      <formula>2.5</formula>
    </cfRule>
    <cfRule type="cellIs" dxfId="10" priority="2" operator="greaterThan">
      <formula>3</formula>
    </cfRule>
    <cfRule type="cellIs" dxfId="9" priority="3" operator="between">
      <formula>2.5</formula>
      <formula>3</formula>
    </cfRule>
  </conditionalFormatting>
  <conditionalFormatting sqref="A32:AH33">
    <cfRule type="cellIs" dxfId="8" priority="4" operator="between">
      <formula>2.5</formula>
      <formula>3</formula>
    </cfRule>
    <cfRule type="cellIs" dxfId="7" priority="5" operator="lessThan">
      <formula>2.5</formula>
    </cfRule>
    <cfRule type="cellIs" dxfId="6" priority="6" operator="greaterThan">
      <formula>3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5212F-740B-46B3-B85C-1081313D1C98}">
  <dimension ref="A1:AE25"/>
  <sheetViews>
    <sheetView workbookViewId="0">
      <selection activeCell="D13" sqref="D13"/>
    </sheetView>
  </sheetViews>
  <sheetFormatPr baseColWidth="10" defaultRowHeight="14.4" x14ac:dyDescent="0.3"/>
  <cols>
    <col min="1" max="1" width="15.6640625" bestFit="1" customWidth="1"/>
    <col min="2" max="2" width="13.44140625" bestFit="1" customWidth="1"/>
    <col min="5" max="5" width="15.6640625" bestFit="1" customWidth="1"/>
    <col min="6" max="6" width="12.6640625" bestFit="1" customWidth="1"/>
  </cols>
  <sheetData>
    <row r="1" spans="1:31" x14ac:dyDescent="0.3">
      <c r="A1" s="20" t="s">
        <v>125</v>
      </c>
      <c r="B1" s="20" t="s">
        <v>69</v>
      </c>
      <c r="C1" s="6" t="s">
        <v>55</v>
      </c>
      <c r="D1" s="6" t="s">
        <v>0</v>
      </c>
      <c r="E1" s="6" t="s">
        <v>1</v>
      </c>
      <c r="F1" s="6" t="s">
        <v>2</v>
      </c>
      <c r="G1" s="6" t="s">
        <v>3</v>
      </c>
      <c r="H1" s="6" t="s">
        <v>5</v>
      </c>
      <c r="I1" s="6" t="s">
        <v>56</v>
      </c>
      <c r="J1" s="6" t="s">
        <v>4</v>
      </c>
      <c r="K1" s="6" t="s">
        <v>10</v>
      </c>
      <c r="L1" s="6" t="s">
        <v>57</v>
      </c>
      <c r="M1" s="6" t="s">
        <v>9</v>
      </c>
      <c r="N1" s="6" t="s">
        <v>53</v>
      </c>
      <c r="O1" s="6" t="s">
        <v>11</v>
      </c>
      <c r="P1" s="6" t="s">
        <v>58</v>
      </c>
      <c r="Q1" s="6" t="s">
        <v>59</v>
      </c>
      <c r="R1" s="6" t="s">
        <v>16</v>
      </c>
      <c r="S1" s="6" t="s">
        <v>6</v>
      </c>
      <c r="T1" s="6" t="s">
        <v>7</v>
      </c>
      <c r="U1" s="6" t="s">
        <v>17</v>
      </c>
      <c r="V1" s="6" t="s">
        <v>20</v>
      </c>
      <c r="W1" s="6" t="s">
        <v>21</v>
      </c>
      <c r="X1" s="6" t="s">
        <v>19</v>
      </c>
      <c r="Y1" s="6" t="s">
        <v>23</v>
      </c>
      <c r="Z1" s="6" t="s">
        <v>24</v>
      </c>
      <c r="AA1" s="6" t="s">
        <v>28</v>
      </c>
      <c r="AB1" s="6" t="s">
        <v>51</v>
      </c>
      <c r="AC1" s="6" t="s">
        <v>52</v>
      </c>
      <c r="AD1" s="6" t="s">
        <v>50</v>
      </c>
      <c r="AE1" s="6" t="s">
        <v>8</v>
      </c>
    </row>
    <row r="2" spans="1:31" x14ac:dyDescent="0.3">
      <c r="A2" s="23"/>
      <c r="B2" s="21"/>
      <c r="C2" s="6" t="s">
        <v>126</v>
      </c>
      <c r="D2" s="6" t="s">
        <v>127</v>
      </c>
      <c r="E2" s="6" t="s">
        <v>128</v>
      </c>
      <c r="F2" s="6" t="s">
        <v>129</v>
      </c>
      <c r="G2" s="6" t="s">
        <v>130</v>
      </c>
      <c r="H2" s="6" t="s">
        <v>131</v>
      </c>
      <c r="I2" s="6" t="s">
        <v>132</v>
      </c>
      <c r="J2" s="6" t="s">
        <v>133</v>
      </c>
      <c r="K2" s="6" t="s">
        <v>134</v>
      </c>
      <c r="L2" s="6" t="s">
        <v>135</v>
      </c>
      <c r="M2" s="6" t="s">
        <v>136</v>
      </c>
      <c r="N2" s="6" t="s">
        <v>137</v>
      </c>
      <c r="O2" s="6" t="s">
        <v>138</v>
      </c>
      <c r="P2" s="6" t="s">
        <v>139</v>
      </c>
      <c r="Q2" s="6" t="s">
        <v>140</v>
      </c>
      <c r="R2" s="6" t="s">
        <v>141</v>
      </c>
      <c r="S2" s="6" t="s">
        <v>142</v>
      </c>
      <c r="T2" s="6" t="s">
        <v>143</v>
      </c>
      <c r="U2" s="6" t="s">
        <v>144</v>
      </c>
      <c r="V2" s="6" t="s">
        <v>145</v>
      </c>
      <c r="W2" s="6" t="s">
        <v>146</v>
      </c>
      <c r="X2" s="6" t="s">
        <v>147</v>
      </c>
      <c r="Y2" s="6" t="s">
        <v>148</v>
      </c>
      <c r="Z2" s="6" t="s">
        <v>149</v>
      </c>
      <c r="AA2" s="6" t="s">
        <v>150</v>
      </c>
      <c r="AB2" s="6" t="s">
        <v>151</v>
      </c>
      <c r="AC2" s="6" t="s">
        <v>152</v>
      </c>
      <c r="AD2" s="6" t="s">
        <v>153</v>
      </c>
      <c r="AE2" s="6" t="s">
        <v>154</v>
      </c>
    </row>
    <row r="3" spans="1:31" x14ac:dyDescent="0.3">
      <c r="A3" s="23"/>
      <c r="B3" s="6" t="s">
        <v>67</v>
      </c>
      <c r="C3" s="7">
        <v>30.1</v>
      </c>
      <c r="D3" s="7">
        <v>30.8</v>
      </c>
      <c r="E3" s="7">
        <v>30.8</v>
      </c>
      <c r="F3" s="7">
        <v>30.9</v>
      </c>
      <c r="G3" s="7">
        <v>30.3</v>
      </c>
      <c r="H3" s="7">
        <v>31.8</v>
      </c>
      <c r="I3" s="7">
        <v>31.4</v>
      </c>
      <c r="J3" s="7">
        <v>30.9</v>
      </c>
      <c r="K3" s="7">
        <v>31.4</v>
      </c>
      <c r="L3" s="7">
        <v>31.1</v>
      </c>
      <c r="M3" s="7">
        <v>31.1</v>
      </c>
      <c r="N3" s="7">
        <v>31</v>
      </c>
      <c r="O3" s="7">
        <v>30.1</v>
      </c>
      <c r="P3" s="7">
        <v>30.3</v>
      </c>
      <c r="Q3" s="7">
        <v>30.2</v>
      </c>
      <c r="R3" s="7">
        <v>30.4</v>
      </c>
      <c r="S3" s="7">
        <v>30.2</v>
      </c>
      <c r="T3" s="7">
        <v>30.5</v>
      </c>
      <c r="U3" s="7">
        <v>30.6</v>
      </c>
      <c r="V3" s="7">
        <v>30.3</v>
      </c>
      <c r="W3" s="7">
        <v>30.2</v>
      </c>
      <c r="X3" s="7">
        <v>30.4</v>
      </c>
      <c r="Y3" s="7">
        <v>30.2</v>
      </c>
      <c r="Z3" s="7">
        <v>31.6</v>
      </c>
      <c r="AA3" s="7">
        <v>32.799999999999997</v>
      </c>
      <c r="AB3" s="7">
        <v>30.7</v>
      </c>
      <c r="AC3" s="7">
        <v>31.3</v>
      </c>
      <c r="AD3" s="7">
        <v>30.2</v>
      </c>
      <c r="AE3" s="7">
        <v>31.2</v>
      </c>
    </row>
    <row r="4" spans="1:31" x14ac:dyDescent="0.3">
      <c r="A4" s="23"/>
      <c r="B4" s="6" t="s">
        <v>64</v>
      </c>
      <c r="C4" s="7">
        <v>30.8</v>
      </c>
      <c r="D4" s="7">
        <v>33.1</v>
      </c>
      <c r="E4" s="7">
        <v>34.6</v>
      </c>
      <c r="F4" s="7">
        <v>34.299999999999997</v>
      </c>
      <c r="G4" s="7">
        <v>7.8</v>
      </c>
      <c r="H4" s="7">
        <v>13.8</v>
      </c>
      <c r="I4" s="7">
        <v>14.9</v>
      </c>
      <c r="J4" s="7">
        <v>25.3</v>
      </c>
      <c r="K4" s="7">
        <v>22.6</v>
      </c>
      <c r="L4" s="7">
        <v>17.100000000000001</v>
      </c>
      <c r="M4" s="7">
        <v>16.7</v>
      </c>
      <c r="N4" s="7">
        <v>16</v>
      </c>
      <c r="O4" s="7">
        <v>27.6</v>
      </c>
      <c r="P4" s="7">
        <v>28.5</v>
      </c>
      <c r="Q4" s="7">
        <v>29</v>
      </c>
      <c r="R4" s="7">
        <v>14.9</v>
      </c>
      <c r="S4" s="7">
        <v>15.2</v>
      </c>
      <c r="T4" s="7">
        <v>19.3</v>
      </c>
      <c r="U4" s="7">
        <v>18.899999999999999</v>
      </c>
      <c r="V4" s="7">
        <v>19</v>
      </c>
      <c r="W4" s="7">
        <v>22.8</v>
      </c>
      <c r="X4" s="7">
        <v>20</v>
      </c>
      <c r="Y4" s="7">
        <v>19.7</v>
      </c>
      <c r="Z4" s="7">
        <v>18.8</v>
      </c>
      <c r="AA4" s="7">
        <v>16.100000000000001</v>
      </c>
      <c r="AB4" s="7">
        <v>21</v>
      </c>
      <c r="AC4" s="7">
        <v>21.1</v>
      </c>
      <c r="AD4" s="7">
        <v>16.899999999999999</v>
      </c>
      <c r="AE4" s="7">
        <v>18.7</v>
      </c>
    </row>
    <row r="5" spans="1:31" x14ac:dyDescent="0.3">
      <c r="A5" s="21"/>
      <c r="B5" s="6" t="s">
        <v>65</v>
      </c>
      <c r="C5" s="8">
        <v>17.690000000000001</v>
      </c>
      <c r="D5" s="8">
        <v>11.38</v>
      </c>
      <c r="E5" s="8">
        <v>21.4</v>
      </c>
      <c r="F5" s="8">
        <v>25.4</v>
      </c>
      <c r="G5" s="8">
        <v>92.2</v>
      </c>
      <c r="H5" s="8">
        <v>31.2</v>
      </c>
      <c r="I5" s="8">
        <v>38.6</v>
      </c>
      <c r="J5" s="8">
        <v>27.4</v>
      </c>
      <c r="K5" s="9">
        <v>28</v>
      </c>
      <c r="L5" s="8">
        <v>28.9</v>
      </c>
      <c r="M5" s="8">
        <v>26.3</v>
      </c>
      <c r="N5" s="8">
        <v>24.4</v>
      </c>
      <c r="O5" s="8">
        <v>1.1299999999999999</v>
      </c>
      <c r="P5" s="8">
        <v>0.88</v>
      </c>
      <c r="Q5" s="8">
        <v>0.5</v>
      </c>
      <c r="R5" s="8">
        <v>5.3</v>
      </c>
      <c r="S5" s="8">
        <v>5.81</v>
      </c>
      <c r="T5" s="8">
        <v>4.88</v>
      </c>
      <c r="U5" s="8">
        <v>3.49</v>
      </c>
      <c r="V5" s="8">
        <v>3.11</v>
      </c>
      <c r="W5" s="8">
        <v>3.83</v>
      </c>
      <c r="X5" s="8">
        <v>2.52</v>
      </c>
      <c r="Y5" s="8">
        <v>3.41</v>
      </c>
      <c r="Z5" s="8">
        <v>5.3</v>
      </c>
      <c r="AA5" s="8">
        <v>6.52</v>
      </c>
      <c r="AB5" s="8">
        <v>2.44</v>
      </c>
      <c r="AC5" s="8">
        <v>3.28</v>
      </c>
      <c r="AD5" s="8">
        <v>2.1</v>
      </c>
      <c r="AE5" s="8">
        <v>4.71</v>
      </c>
    </row>
    <row r="6" spans="1:31" x14ac:dyDescent="0.3">
      <c r="A6" s="6" t="s">
        <v>32</v>
      </c>
      <c r="B6" s="10" t="s">
        <v>33</v>
      </c>
      <c r="C6" s="11">
        <v>2.966004348426539</v>
      </c>
      <c r="D6" s="11">
        <v>2.8052139393636355</v>
      </c>
      <c r="E6" s="11">
        <v>2.5294977971835939</v>
      </c>
      <c r="F6" s="11">
        <v>2.589077052105083</v>
      </c>
      <c r="G6" s="11">
        <v>1.8992241507993286</v>
      </c>
      <c r="H6" s="11">
        <v>2.165077114165598</v>
      </c>
      <c r="I6" s="11">
        <v>2.6151525433478837</v>
      </c>
      <c r="J6" s="11">
        <v>2.4182099601841442</v>
      </c>
      <c r="K6" s="11">
        <v>1.9590700609157639</v>
      </c>
      <c r="L6" s="11">
        <v>2.1679011567685014</v>
      </c>
      <c r="M6" s="11">
        <v>1.848421821087586</v>
      </c>
      <c r="N6" s="11">
        <v>4.0397621785591333</v>
      </c>
      <c r="O6" s="11">
        <v>2.8182626530977624</v>
      </c>
      <c r="P6" s="11">
        <v>2.3012000141250279</v>
      </c>
      <c r="Q6" s="11">
        <v>2.6105388723772163</v>
      </c>
      <c r="R6" s="11">
        <v>1.9828374935237376</v>
      </c>
      <c r="S6" s="11">
        <v>1.9094150228120326</v>
      </c>
      <c r="T6" s="11">
        <v>1.6455896588984036</v>
      </c>
      <c r="U6" s="11">
        <v>2.0086667732373056</v>
      </c>
      <c r="V6" s="11">
        <v>2.1433048616375618</v>
      </c>
      <c r="W6" s="11">
        <v>1.8090012734573575</v>
      </c>
      <c r="X6" s="11">
        <v>1.8267984852386654</v>
      </c>
      <c r="Y6" s="11">
        <v>1.8449344053744772</v>
      </c>
      <c r="Z6" s="11">
        <v>1.7038668497788201</v>
      </c>
      <c r="AA6" s="11">
        <v>1.4527822940234372</v>
      </c>
      <c r="AB6" s="11">
        <v>2.0338285312973126</v>
      </c>
      <c r="AC6" s="11">
        <v>1.6808825469253337</v>
      </c>
      <c r="AD6" s="11">
        <v>2.0068400604227183</v>
      </c>
      <c r="AE6" s="11">
        <v>1.9131186612231665</v>
      </c>
    </row>
    <row r="7" spans="1:31" x14ac:dyDescent="0.3">
      <c r="A7" s="6" t="s">
        <v>32</v>
      </c>
      <c r="B7" s="10" t="s">
        <v>60</v>
      </c>
      <c r="C7" s="11">
        <v>2.8622697957139445</v>
      </c>
      <c r="D7" s="11">
        <v>2.7258619083396396</v>
      </c>
      <c r="E7" s="11">
        <v>2.5166066406352696</v>
      </c>
      <c r="F7" s="11">
        <v>2.5823560288487775</v>
      </c>
      <c r="G7" s="11">
        <v>1.8431740082585757</v>
      </c>
      <c r="H7" s="11">
        <v>2.1173589858578921</v>
      </c>
      <c r="I7" s="11">
        <v>2.5276410549629635</v>
      </c>
      <c r="J7" s="11">
        <v>2.4166528782596131</v>
      </c>
      <c r="K7" s="11">
        <v>1.9194454885313708</v>
      </c>
      <c r="L7" s="11">
        <v>2.118729969045261</v>
      </c>
      <c r="M7" s="11">
        <v>1.7735378866884941</v>
      </c>
      <c r="N7" s="11">
        <v>5.4746278249131706</v>
      </c>
      <c r="O7" s="11">
        <v>2.7774339070224703</v>
      </c>
      <c r="P7" s="11">
        <v>2.2132092464828959</v>
      </c>
      <c r="Q7" s="11">
        <v>2.5749763942516495</v>
      </c>
      <c r="R7" s="11">
        <v>1.9158657113640514</v>
      </c>
      <c r="S7" s="11">
        <v>1.8795451910437841</v>
      </c>
      <c r="T7" s="11">
        <v>1.6158182613071435</v>
      </c>
      <c r="U7" s="11">
        <v>1.9624946390834093</v>
      </c>
      <c r="V7" s="11">
        <v>2.1275884498121842</v>
      </c>
      <c r="W7" s="11">
        <v>1.7949289719957411</v>
      </c>
      <c r="X7" s="11">
        <v>1.777732356859353</v>
      </c>
      <c r="Y7" s="11">
        <v>1.8078783386586115</v>
      </c>
      <c r="Z7" s="11">
        <v>1.6649694608083341</v>
      </c>
      <c r="AA7" s="11">
        <v>1.4301084330182827</v>
      </c>
      <c r="AB7" s="11">
        <v>1.9632924768428508</v>
      </c>
      <c r="AC7" s="11">
        <v>1.7005981380228992</v>
      </c>
      <c r="AD7" s="11">
        <v>1.9450489818692218</v>
      </c>
      <c r="AE7" s="11">
        <v>1.8436562665469998</v>
      </c>
    </row>
    <row r="9" spans="1:31" x14ac:dyDescent="0.3">
      <c r="A9" s="22" t="s">
        <v>33</v>
      </c>
      <c r="B9" s="22"/>
      <c r="C9" s="22"/>
      <c r="D9" s="19"/>
      <c r="E9" s="22" t="s">
        <v>34</v>
      </c>
      <c r="F9" s="22"/>
      <c r="G9" s="22"/>
    </row>
    <row r="10" spans="1:31" x14ac:dyDescent="0.3">
      <c r="A10" s="12" t="s">
        <v>35</v>
      </c>
      <c r="B10" s="6" t="s">
        <v>36</v>
      </c>
      <c r="C10" s="6">
        <f>COUNT(N6)</f>
        <v>1</v>
      </c>
      <c r="E10" s="12" t="s">
        <v>35</v>
      </c>
      <c r="F10" s="6" t="s">
        <v>36</v>
      </c>
      <c r="G10" s="6">
        <f>COUNT(N7)</f>
        <v>1</v>
      </c>
    </row>
    <row r="11" spans="1:31" x14ac:dyDescent="0.3">
      <c r="A11" s="13" t="s">
        <v>37</v>
      </c>
      <c r="B11" s="6" t="s">
        <v>38</v>
      </c>
      <c r="C11" s="6">
        <f>COUNT(G6:H6,J6:M6,P6,R6:AE6)</f>
        <v>21</v>
      </c>
      <c r="E11" s="13" t="s">
        <v>37</v>
      </c>
      <c r="F11" s="6" t="s">
        <v>38</v>
      </c>
      <c r="G11" s="6">
        <f>COUNT(G7:H7,J7:M7,P7,R7:AE7)</f>
        <v>21</v>
      </c>
    </row>
    <row r="12" spans="1:31" x14ac:dyDescent="0.3">
      <c r="A12" s="14" t="s">
        <v>39</v>
      </c>
      <c r="B12" s="6" t="s">
        <v>40</v>
      </c>
      <c r="C12" s="6">
        <f>COUNT(C6:F6,I6,O6,Q6)</f>
        <v>7</v>
      </c>
      <c r="E12" s="14" t="s">
        <v>39</v>
      </c>
      <c r="F12" s="6" t="s">
        <v>40</v>
      </c>
      <c r="G12" s="6">
        <f>COUNT(C7:F7,I7,O7,Q7)</f>
        <v>7</v>
      </c>
    </row>
    <row r="14" spans="1:31" x14ac:dyDescent="0.3">
      <c r="A14" s="23" t="s">
        <v>155</v>
      </c>
      <c r="B14" s="20" t="s">
        <v>69</v>
      </c>
      <c r="C14" s="6" t="s">
        <v>43</v>
      </c>
      <c r="D14" s="6" t="s">
        <v>42</v>
      </c>
      <c r="E14" s="6" t="s">
        <v>41</v>
      </c>
      <c r="F14" s="6" t="s">
        <v>44</v>
      </c>
      <c r="G14" s="6" t="s">
        <v>45</v>
      </c>
      <c r="H14" s="6" t="s">
        <v>20</v>
      </c>
      <c r="I14" s="6" t="s">
        <v>21</v>
      </c>
      <c r="J14" s="6" t="s">
        <v>19</v>
      </c>
      <c r="K14" s="6" t="s">
        <v>51</v>
      </c>
      <c r="L14" s="6" t="s">
        <v>7</v>
      </c>
      <c r="M14" s="6" t="s">
        <v>8</v>
      </c>
      <c r="N14" s="6" t="s">
        <v>9</v>
      </c>
      <c r="O14" s="6" t="s">
        <v>50</v>
      </c>
      <c r="P14" s="6" t="s">
        <v>49</v>
      </c>
      <c r="Q14" s="6" t="s">
        <v>47</v>
      </c>
    </row>
    <row r="15" spans="1:31" x14ac:dyDescent="0.3">
      <c r="A15" s="23"/>
      <c r="B15" s="21"/>
      <c r="C15" s="6" t="s">
        <v>188</v>
      </c>
      <c r="D15" s="6" t="s">
        <v>189</v>
      </c>
      <c r="E15" s="6" t="s">
        <v>190</v>
      </c>
      <c r="F15" s="6" t="s">
        <v>191</v>
      </c>
      <c r="G15" s="6" t="s">
        <v>192</v>
      </c>
      <c r="H15" s="6" t="s">
        <v>193</v>
      </c>
      <c r="I15" s="6" t="s">
        <v>194</v>
      </c>
      <c r="J15" s="6" t="s">
        <v>195</v>
      </c>
      <c r="K15" s="6" t="s">
        <v>196</v>
      </c>
      <c r="L15" s="6" t="s">
        <v>197</v>
      </c>
      <c r="M15" s="6" t="s">
        <v>198</v>
      </c>
      <c r="N15" s="6" t="s">
        <v>199</v>
      </c>
      <c r="O15" s="6" t="s">
        <v>200</v>
      </c>
      <c r="P15" s="6" t="s">
        <v>201</v>
      </c>
      <c r="Q15" s="6" t="s">
        <v>202</v>
      </c>
    </row>
    <row r="16" spans="1:31" x14ac:dyDescent="0.3">
      <c r="A16" s="23"/>
      <c r="B16" s="6" t="s">
        <v>67</v>
      </c>
      <c r="C16" s="4">
        <v>29.3</v>
      </c>
      <c r="D16" s="4">
        <v>29.8</v>
      </c>
      <c r="E16" s="4">
        <v>29.7</v>
      </c>
      <c r="F16" s="4">
        <v>31.7</v>
      </c>
      <c r="G16" s="4">
        <v>30.6</v>
      </c>
      <c r="H16" s="4">
        <v>30</v>
      </c>
      <c r="I16" s="4">
        <v>30</v>
      </c>
      <c r="J16" s="4">
        <v>30.4</v>
      </c>
      <c r="K16" s="4">
        <v>31.2</v>
      </c>
      <c r="L16" s="4">
        <v>30.2</v>
      </c>
      <c r="M16" s="4">
        <v>31.9</v>
      </c>
      <c r="N16" s="4">
        <v>31.5</v>
      </c>
      <c r="O16" s="4">
        <v>30.7</v>
      </c>
      <c r="P16" s="4">
        <v>31.5</v>
      </c>
      <c r="Q16" s="4">
        <v>32.1</v>
      </c>
    </row>
    <row r="17" spans="1:17" x14ac:dyDescent="0.3">
      <c r="A17" s="23"/>
      <c r="B17" s="6" t="s">
        <v>64</v>
      </c>
      <c r="C17" s="4">
        <v>15.7</v>
      </c>
      <c r="D17" s="4">
        <v>17.899999999999999</v>
      </c>
      <c r="E17" s="4">
        <v>17.899999999999999</v>
      </c>
      <c r="F17" s="4">
        <v>0</v>
      </c>
      <c r="G17" s="4">
        <v>18.8</v>
      </c>
      <c r="H17" s="4">
        <v>30.7</v>
      </c>
      <c r="I17" s="4">
        <v>32.4</v>
      </c>
      <c r="J17" s="4">
        <v>32.200000000000003</v>
      </c>
      <c r="K17" s="4">
        <v>33.700000000000003</v>
      </c>
      <c r="L17" s="4">
        <v>30.5</v>
      </c>
      <c r="M17" s="4">
        <v>29.5</v>
      </c>
      <c r="N17" s="4">
        <v>16.100000000000001</v>
      </c>
      <c r="O17" s="4">
        <v>25</v>
      </c>
      <c r="P17" s="4">
        <v>26</v>
      </c>
      <c r="Q17" s="4">
        <v>14.3</v>
      </c>
    </row>
    <row r="18" spans="1:17" x14ac:dyDescent="0.3">
      <c r="A18" s="21"/>
      <c r="B18" s="6" t="s">
        <v>65</v>
      </c>
      <c r="C18" s="5">
        <v>4.71</v>
      </c>
      <c r="D18" s="5">
        <v>2.96</v>
      </c>
      <c r="E18" s="5">
        <v>0.89</v>
      </c>
      <c r="F18" s="5">
        <v>15.4</v>
      </c>
      <c r="G18" s="5">
        <v>34.799999999999997</v>
      </c>
      <c r="H18" s="5">
        <v>9.01</v>
      </c>
      <c r="I18" s="5">
        <v>2.9</v>
      </c>
      <c r="J18" s="5">
        <v>3.14</v>
      </c>
      <c r="K18" s="5">
        <v>4.24</v>
      </c>
      <c r="L18" s="5">
        <v>9.07</v>
      </c>
      <c r="M18" s="5">
        <v>1.0900000000000001</v>
      </c>
      <c r="N18" s="5">
        <v>6.41</v>
      </c>
      <c r="O18" s="5">
        <v>0.83</v>
      </c>
      <c r="P18" s="5">
        <v>3.98</v>
      </c>
      <c r="Q18" s="5">
        <v>35.4</v>
      </c>
    </row>
    <row r="19" spans="1:17" x14ac:dyDescent="0.3">
      <c r="A19" s="6" t="s">
        <v>32</v>
      </c>
      <c r="B19" s="10" t="s">
        <v>33</v>
      </c>
      <c r="C19" s="11">
        <v>3.0747745455769095</v>
      </c>
      <c r="D19" s="11">
        <v>1.5344127712338824</v>
      </c>
      <c r="E19" s="11">
        <v>2.2615041075430509</v>
      </c>
      <c r="F19" s="11">
        <v>6.4329764015439705</v>
      </c>
      <c r="G19" s="11">
        <v>4.1379970236295067</v>
      </c>
      <c r="H19" s="11">
        <v>2.923379705021119</v>
      </c>
      <c r="I19" s="11">
        <v>4.0481735458453105</v>
      </c>
      <c r="J19" s="11">
        <v>4.8404679254123923</v>
      </c>
      <c r="K19" s="11">
        <v>3.1978261009681908</v>
      </c>
      <c r="L19" s="11">
        <v>2.7763891044859403</v>
      </c>
      <c r="M19" s="11">
        <v>3.1327960290265637</v>
      </c>
      <c r="N19" s="11">
        <v>2.105534710650951</v>
      </c>
      <c r="O19" s="11">
        <v>2.3561332307069676</v>
      </c>
      <c r="P19" s="11">
        <v>2.004922805731761</v>
      </c>
      <c r="Q19" s="11">
        <v>1.7723556686894133</v>
      </c>
    </row>
    <row r="20" spans="1:17" x14ac:dyDescent="0.3">
      <c r="A20" s="6" t="s">
        <v>32</v>
      </c>
      <c r="B20" s="10" t="s">
        <v>60</v>
      </c>
      <c r="C20" s="11">
        <v>2.9712706615609306</v>
      </c>
      <c r="D20" s="11">
        <v>1.5278824896554546</v>
      </c>
      <c r="E20" s="11">
        <v>2.232251574698576</v>
      </c>
      <c r="F20" s="11">
        <v>5.9721581598238256</v>
      </c>
      <c r="G20" s="11">
        <v>4.1376346743215242</v>
      </c>
      <c r="H20" s="11">
        <v>2.8195525030717103</v>
      </c>
      <c r="I20" s="11">
        <v>3.9041626276254364</v>
      </c>
      <c r="J20" s="11">
        <v>4.9155615034879565</v>
      </c>
      <c r="K20" s="11">
        <v>3.0600053990014717</v>
      </c>
      <c r="L20" s="11">
        <v>2.776578245073869</v>
      </c>
      <c r="M20" s="11">
        <v>2.9942995020944667</v>
      </c>
      <c r="N20" s="11">
        <v>2.0565213093827337</v>
      </c>
      <c r="O20" s="11">
        <v>2.3199201156546732</v>
      </c>
      <c r="P20" s="11">
        <v>1.9688247234804797</v>
      </c>
      <c r="Q20" s="11">
        <v>1.6938989721484126</v>
      </c>
    </row>
    <row r="21" spans="1:17" x14ac:dyDescent="0.3">
      <c r="C21" s="18"/>
    </row>
    <row r="22" spans="1:17" x14ac:dyDescent="0.3">
      <c r="A22" s="22" t="s">
        <v>33</v>
      </c>
      <c r="B22" s="22"/>
      <c r="C22" s="22"/>
      <c r="D22" s="19"/>
      <c r="E22" s="22" t="s">
        <v>34</v>
      </c>
      <c r="F22" s="22"/>
      <c r="G22" s="22"/>
    </row>
    <row r="23" spans="1:17" x14ac:dyDescent="0.3">
      <c r="A23" s="12" t="s">
        <v>35</v>
      </c>
      <c r="B23" s="6" t="s">
        <v>36</v>
      </c>
      <c r="C23" s="6">
        <f>COUNT(C19,F19:G19,I19:K19,M19)</f>
        <v>7</v>
      </c>
      <c r="E23" s="12" t="s">
        <v>35</v>
      </c>
      <c r="F23" s="6" t="s">
        <v>36</v>
      </c>
      <c r="G23" s="6">
        <f>COUNT(F20:G20,I20:K20)</f>
        <v>5</v>
      </c>
    </row>
    <row r="24" spans="1:17" x14ac:dyDescent="0.3">
      <c r="A24" s="13" t="s">
        <v>37</v>
      </c>
      <c r="B24" s="6" t="s">
        <v>38</v>
      </c>
      <c r="C24" s="6">
        <f>COUNT(D19,E19,N19:Q19)</f>
        <v>6</v>
      </c>
      <c r="E24" s="13" t="s">
        <v>37</v>
      </c>
      <c r="F24" s="6" t="s">
        <v>38</v>
      </c>
      <c r="G24" s="6">
        <f>COUNT(D20:E20,N20:Q20)</f>
        <v>6</v>
      </c>
    </row>
    <row r="25" spans="1:17" x14ac:dyDescent="0.3">
      <c r="A25" s="14" t="s">
        <v>39</v>
      </c>
      <c r="B25" s="6" t="s">
        <v>40</v>
      </c>
      <c r="C25" s="6">
        <f>COUNT(H19,L19)</f>
        <v>2</v>
      </c>
      <c r="E25" s="14" t="s">
        <v>39</v>
      </c>
      <c r="F25" s="6" t="s">
        <v>40</v>
      </c>
      <c r="G25" s="6">
        <f>COUNT(C20,H20,L20:M20)</f>
        <v>4</v>
      </c>
    </row>
  </sheetData>
  <mergeCells count="8">
    <mergeCell ref="B1:B2"/>
    <mergeCell ref="B14:B15"/>
    <mergeCell ref="A14:A18"/>
    <mergeCell ref="A1:A5"/>
    <mergeCell ref="E22:G22"/>
    <mergeCell ref="A22:C22"/>
    <mergeCell ref="E9:G9"/>
    <mergeCell ref="A9:C9"/>
  </mergeCells>
  <conditionalFormatting sqref="A19:Q20">
    <cfRule type="cellIs" dxfId="5" priority="1" operator="between">
      <formula>2.5</formula>
      <formula>3</formula>
    </cfRule>
    <cfRule type="cellIs" dxfId="4" priority="2" operator="lessThan">
      <formula>2.5</formula>
    </cfRule>
    <cfRule type="cellIs" dxfId="3" priority="3" operator="greaterThan">
      <formula>3</formula>
    </cfRule>
  </conditionalFormatting>
  <conditionalFormatting sqref="A6:AE7">
    <cfRule type="cellIs" dxfId="2" priority="4" operator="lessThan">
      <formula>2.5</formula>
    </cfRule>
    <cfRule type="cellIs" dxfId="1" priority="5" operator="greaterThan">
      <formula>3</formula>
    </cfRule>
    <cfRule type="cellIs" dxfId="0" priority="6" operator="between">
      <formula>2.5</formula>
      <formula>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SECA</vt:lpstr>
      <vt:lpstr>HUMEDA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Gamboa</dc:creator>
  <cp:lastModifiedBy>Omar Gamboa</cp:lastModifiedBy>
  <dcterms:created xsi:type="dcterms:W3CDTF">2026-01-06T21:30:33Z</dcterms:created>
  <dcterms:modified xsi:type="dcterms:W3CDTF">2026-01-17T15:41:21Z</dcterms:modified>
</cp:coreProperties>
</file>